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ersonal modeling class\"/>
    </mc:Choice>
  </mc:AlternateContent>
  <xr:revisionPtr revIDLastSave="0" documentId="13_ncr:1_{5E42C72F-A714-4EFB-AC75-C77209D3AF54}" xr6:coauthVersionLast="43" xr6:coauthVersionMax="43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Cover page" sheetId="5" r:id="rId1"/>
    <sheet name="Guide" sheetId="6" r:id="rId2"/>
    <sheet name="Output&gt;&gt;" sheetId="7" r:id="rId3"/>
    <sheet name="FS" sheetId="8" r:id="rId4"/>
    <sheet name="Calc&gt;&gt;" sheetId="9" r:id="rId5"/>
    <sheet name="Operation" sheetId="10" r:id="rId6"/>
    <sheet name="Analysis" sheetId="14" r:id="rId7"/>
    <sheet name="Ratio" sheetId="16" r:id="rId8"/>
    <sheet name="Model&gt;&gt;" sheetId="11" r:id="rId9"/>
    <sheet name="Input" sheetId="13" r:id="rId10"/>
  </sheets>
  <definedNames>
    <definedName name="coyname">'Cover page'!$I$6</definedName>
  </definedNam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1" i="16" l="1"/>
  <c r="L11" i="16"/>
  <c r="M11" i="16"/>
  <c r="N11" i="16"/>
  <c r="J11" i="16"/>
  <c r="K9" i="16"/>
  <c r="L9" i="16"/>
  <c r="M9" i="16"/>
  <c r="N9" i="16"/>
  <c r="K10" i="16"/>
  <c r="L10" i="16"/>
  <c r="M10" i="16"/>
  <c r="N10" i="16"/>
  <c r="J10" i="16"/>
  <c r="J9" i="16"/>
  <c r="K4" i="16" l="1"/>
  <c r="L4" i="16" s="1"/>
  <c r="M4" i="16" s="1"/>
  <c r="N4" i="16" s="1"/>
  <c r="J2" i="16"/>
  <c r="K2" i="16" s="1"/>
  <c r="L2" i="16" s="1"/>
  <c r="M2" i="16" s="1"/>
  <c r="N2" i="16" s="1"/>
  <c r="J1" i="16"/>
  <c r="J3" i="16" s="1"/>
  <c r="A1" i="16"/>
  <c r="J4" i="14"/>
  <c r="K4" i="14" s="1"/>
  <c r="L4" i="14" s="1"/>
  <c r="M4" i="14" s="1"/>
  <c r="I3" i="14"/>
  <c r="I2" i="14"/>
  <c r="J2" i="14" s="1"/>
  <c r="K2" i="14" s="1"/>
  <c r="L2" i="14" s="1"/>
  <c r="M2" i="14" s="1"/>
  <c r="J1" i="14"/>
  <c r="J3" i="14" s="1"/>
  <c r="I1" i="14"/>
  <c r="A1" i="14"/>
  <c r="I83" i="8"/>
  <c r="I80" i="8"/>
  <c r="J84" i="8"/>
  <c r="K84" i="8"/>
  <c r="L84" i="8"/>
  <c r="M84" i="8"/>
  <c r="J65" i="8"/>
  <c r="K65" i="8"/>
  <c r="L65" i="8"/>
  <c r="M65" i="8"/>
  <c r="I68" i="8"/>
  <c r="I84" i="8" s="1"/>
  <c r="I67" i="8"/>
  <c r="I50" i="8" s="1"/>
  <c r="J50" i="8" s="1"/>
  <c r="K50" i="8" s="1"/>
  <c r="L50" i="8" s="1"/>
  <c r="M50" i="8" s="1"/>
  <c r="J70" i="8"/>
  <c r="J85" i="8" s="1"/>
  <c r="K70" i="8"/>
  <c r="K85" i="8" s="1"/>
  <c r="L70" i="8"/>
  <c r="L85" i="8" s="1"/>
  <c r="M70" i="8"/>
  <c r="M85" i="8" s="1"/>
  <c r="I70" i="8"/>
  <c r="I85" i="8" s="1"/>
  <c r="I64" i="8"/>
  <c r="I65" i="8" s="1"/>
  <c r="I82" i="8" s="1"/>
  <c r="J46" i="8"/>
  <c r="K46" i="8"/>
  <c r="L46" i="8"/>
  <c r="M46" i="8"/>
  <c r="I46" i="8"/>
  <c r="J35" i="8"/>
  <c r="K35" i="8"/>
  <c r="K36" i="8" s="1"/>
  <c r="L35" i="8"/>
  <c r="L36" i="8" s="1"/>
  <c r="M35" i="8"/>
  <c r="M36" i="8" s="1"/>
  <c r="I35" i="8"/>
  <c r="I36" i="8" s="1"/>
  <c r="J14" i="8"/>
  <c r="K14" i="8"/>
  <c r="L14" i="8"/>
  <c r="M14" i="8"/>
  <c r="J17" i="8"/>
  <c r="J56" i="8" s="1"/>
  <c r="K17" i="8"/>
  <c r="K56" i="8" s="1"/>
  <c r="L17" i="8"/>
  <c r="L56" i="8" s="1"/>
  <c r="M17" i="8"/>
  <c r="M56" i="8" s="1"/>
  <c r="I17" i="8"/>
  <c r="I56" i="8" s="1"/>
  <c r="I14" i="8"/>
  <c r="J36" i="8"/>
  <c r="K1" i="16" l="1"/>
  <c r="K1" i="14"/>
  <c r="A1" i="7"/>
  <c r="I1" i="7"/>
  <c r="J1" i="7"/>
  <c r="J3" i="7" s="1"/>
  <c r="K1" i="7"/>
  <c r="L1" i="7" s="1"/>
  <c r="I2" i="7"/>
  <c r="J2" i="7"/>
  <c r="K2" i="7" s="1"/>
  <c r="L2" i="7" s="1"/>
  <c r="M2" i="7" s="1"/>
  <c r="I3" i="7"/>
  <c r="J4" i="7"/>
  <c r="K4" i="7"/>
  <c r="L4" i="7"/>
  <c r="M4" i="7"/>
  <c r="A1" i="8"/>
  <c r="I1" i="8"/>
  <c r="J1" i="8" s="1"/>
  <c r="I2" i="8"/>
  <c r="J2" i="8" s="1"/>
  <c r="K2" i="8" s="1"/>
  <c r="L2" i="8" s="1"/>
  <c r="M2" i="8" s="1"/>
  <c r="J4" i="8"/>
  <c r="K4" i="8" s="1"/>
  <c r="L4" i="8" s="1"/>
  <c r="M4" i="8" s="1"/>
  <c r="A1" i="9"/>
  <c r="I1" i="9"/>
  <c r="J1" i="9"/>
  <c r="J3" i="9" s="1"/>
  <c r="K1" i="9"/>
  <c r="L1" i="9" s="1"/>
  <c r="I2" i="9"/>
  <c r="J2" i="9"/>
  <c r="K2" i="9" s="1"/>
  <c r="L2" i="9" s="1"/>
  <c r="M2" i="9" s="1"/>
  <c r="I3" i="9"/>
  <c r="J4" i="9"/>
  <c r="K4" i="9" s="1"/>
  <c r="L4" i="9" s="1"/>
  <c r="M4" i="9" s="1"/>
  <c r="A1" i="10"/>
  <c r="J1" i="10"/>
  <c r="K1" i="10" s="1"/>
  <c r="J2" i="10"/>
  <c r="K2" i="10" s="1"/>
  <c r="L2" i="10" s="1"/>
  <c r="M2" i="10" s="1"/>
  <c r="J3" i="10"/>
  <c r="K4" i="10"/>
  <c r="L4" i="10" s="1"/>
  <c r="M4" i="10" s="1"/>
  <c r="A1" i="11"/>
  <c r="I1" i="11"/>
  <c r="J1" i="11"/>
  <c r="J3" i="11" s="1"/>
  <c r="K1" i="11"/>
  <c r="L1" i="11" s="1"/>
  <c r="I2" i="11"/>
  <c r="J2" i="11"/>
  <c r="K2" i="11" s="1"/>
  <c r="L2" i="11" s="1"/>
  <c r="M2" i="11" s="1"/>
  <c r="I3" i="11"/>
  <c r="J4" i="11"/>
  <c r="K4" i="11"/>
  <c r="L4" i="11"/>
  <c r="M4" i="11"/>
  <c r="A1" i="13"/>
  <c r="I1" i="13"/>
  <c r="J1" i="13"/>
  <c r="J3" i="13" s="1"/>
  <c r="K1" i="13"/>
  <c r="L1" i="13" s="1"/>
  <c r="I2" i="13"/>
  <c r="J2" i="13"/>
  <c r="K2" i="13" s="1"/>
  <c r="L2" i="13" s="1"/>
  <c r="M2" i="13" s="1"/>
  <c r="I3" i="13"/>
  <c r="J4" i="13"/>
  <c r="K4" i="13" s="1"/>
  <c r="L4" i="13" s="1"/>
  <c r="M4" i="13" s="1"/>
  <c r="G64" i="10"/>
  <c r="H56" i="10"/>
  <c r="H57" i="10"/>
  <c r="H58" i="10"/>
  <c r="H55" i="10"/>
  <c r="H52" i="10"/>
  <c r="H42" i="10"/>
  <c r="H43" i="10"/>
  <c r="H41" i="10"/>
  <c r="H11" i="10"/>
  <c r="H19" i="10" s="1"/>
  <c r="L1" i="16" l="1"/>
  <c r="K3" i="16"/>
  <c r="K3" i="14"/>
  <c r="L1" i="14"/>
  <c r="J3" i="8"/>
  <c r="K1" i="8"/>
  <c r="L1" i="8" s="1"/>
  <c r="M1" i="8" s="1"/>
  <c r="M3" i="8" s="1"/>
  <c r="I3" i="8"/>
  <c r="M1" i="7"/>
  <c r="M3" i="7" s="1"/>
  <c r="L3" i="7"/>
  <c r="K3" i="7"/>
  <c r="M1" i="9"/>
  <c r="M3" i="9" s="1"/>
  <c r="L3" i="9"/>
  <c r="K3" i="9"/>
  <c r="K3" i="10"/>
  <c r="L1" i="10"/>
  <c r="M1" i="11"/>
  <c r="M3" i="11" s="1"/>
  <c r="L3" i="11"/>
  <c r="K3" i="11"/>
  <c r="M1" i="13"/>
  <c r="M3" i="13" s="1"/>
  <c r="L3" i="13"/>
  <c r="K3" i="13"/>
  <c r="H59" i="10"/>
  <c r="J63" i="10" s="1"/>
  <c r="H44" i="10"/>
  <c r="J48" i="10"/>
  <c r="H36" i="10"/>
  <c r="J36" i="10" s="1"/>
  <c r="K36" i="10" s="1"/>
  <c r="L36" i="10" s="1"/>
  <c r="M36" i="10" s="1"/>
  <c r="N36" i="10" s="1"/>
  <c r="H33" i="10"/>
  <c r="J33" i="10" s="1"/>
  <c r="K33" i="10" s="1"/>
  <c r="L33" i="10" s="1"/>
  <c r="M33" i="10" s="1"/>
  <c r="N33" i="10" s="1"/>
  <c r="H34" i="10"/>
  <c r="J34" i="10" s="1"/>
  <c r="K34" i="10" s="1"/>
  <c r="L34" i="10" s="1"/>
  <c r="M34" i="10" s="1"/>
  <c r="N34" i="10" s="1"/>
  <c r="H35" i="10"/>
  <c r="J35" i="10" s="1"/>
  <c r="K35" i="10" s="1"/>
  <c r="L35" i="10" s="1"/>
  <c r="M35" i="10" s="1"/>
  <c r="N35" i="10" s="1"/>
  <c r="H37" i="10"/>
  <c r="J37" i="10" s="1"/>
  <c r="K37" i="10" s="1"/>
  <c r="L37" i="10" s="1"/>
  <c r="M37" i="10" s="1"/>
  <c r="N37" i="10" s="1"/>
  <c r="H32" i="10"/>
  <c r="J32" i="10" s="1"/>
  <c r="K32" i="10" s="1"/>
  <c r="L32" i="10" s="1"/>
  <c r="M32" i="10" s="1"/>
  <c r="N32" i="10" s="1"/>
  <c r="H26" i="10"/>
  <c r="J26" i="10" s="1"/>
  <c r="K26" i="10" s="1"/>
  <c r="L26" i="10" s="1"/>
  <c r="M26" i="10" s="1"/>
  <c r="N26" i="10" s="1"/>
  <c r="H27" i="10"/>
  <c r="J27" i="10" s="1"/>
  <c r="K27" i="10" s="1"/>
  <c r="L27" i="10" s="1"/>
  <c r="M27" i="10" s="1"/>
  <c r="N27" i="10" s="1"/>
  <c r="H28" i="10"/>
  <c r="J28" i="10" s="1"/>
  <c r="K28" i="10" s="1"/>
  <c r="L28" i="10" s="1"/>
  <c r="M28" i="10" s="1"/>
  <c r="N28" i="10" s="1"/>
  <c r="H29" i="10"/>
  <c r="J29" i="10" s="1"/>
  <c r="K29" i="10" s="1"/>
  <c r="L29" i="10" s="1"/>
  <c r="M29" i="10" s="1"/>
  <c r="N29" i="10" s="1"/>
  <c r="H30" i="10"/>
  <c r="J30" i="10" s="1"/>
  <c r="K30" i="10" s="1"/>
  <c r="L30" i="10" s="1"/>
  <c r="M30" i="10" s="1"/>
  <c r="N30" i="10" s="1"/>
  <c r="H25" i="10"/>
  <c r="J25" i="10" s="1"/>
  <c r="K25" i="10" s="1"/>
  <c r="L25" i="10" s="1"/>
  <c r="M25" i="10" s="1"/>
  <c r="N25" i="10" s="1"/>
  <c r="E26" i="10"/>
  <c r="E27" i="10"/>
  <c r="E28" i="10"/>
  <c r="E29" i="10"/>
  <c r="E30" i="10"/>
  <c r="E25" i="10"/>
  <c r="H8" i="10"/>
  <c r="H7" i="10"/>
  <c r="H18" i="10"/>
  <c r="H17" i="10"/>
  <c r="H16" i="10"/>
  <c r="L3" i="16" l="1"/>
  <c r="M1" i="16"/>
  <c r="M1" i="14"/>
  <c r="M3" i="14" s="1"/>
  <c r="L3" i="14"/>
  <c r="L3" i="8"/>
  <c r="K3" i="8"/>
  <c r="M1" i="10"/>
  <c r="M3" i="10" s="1"/>
  <c r="L3" i="10"/>
  <c r="J64" i="10"/>
  <c r="K64" i="10" s="1"/>
  <c r="L64" i="10" s="1"/>
  <c r="M64" i="10" s="1"/>
  <c r="N64" i="10" s="1"/>
  <c r="J52" i="10"/>
  <c r="L49" i="10"/>
  <c r="M49" i="10"/>
  <c r="J50" i="10"/>
  <c r="K47" i="10" s="1"/>
  <c r="N49" i="10"/>
  <c r="K49" i="10"/>
  <c r="J49" i="10"/>
  <c r="N38" i="10"/>
  <c r="M38" i="10"/>
  <c r="L38" i="10"/>
  <c r="J38" i="10"/>
  <c r="K38" i="10"/>
  <c r="H20" i="10"/>
  <c r="J20" i="10" s="1"/>
  <c r="J12" i="10"/>
  <c r="K12" i="10" s="1"/>
  <c r="L12" i="10" s="1"/>
  <c r="M12" i="10" s="1"/>
  <c r="N12" i="10" s="1"/>
  <c r="J10" i="10"/>
  <c r="N4" i="10"/>
  <c r="I1" i="6"/>
  <c r="I17" i="5"/>
  <c r="I15" i="5"/>
  <c r="I16" i="5"/>
  <c r="I2" i="6" s="1"/>
  <c r="M3" i="16" l="1"/>
  <c r="N1" i="16"/>
  <c r="N3" i="16" s="1"/>
  <c r="J13" i="10"/>
  <c r="J65" i="10"/>
  <c r="K62" i="10" s="1"/>
  <c r="K65" i="10" s="1"/>
  <c r="L62" i="10" s="1"/>
  <c r="L65" i="10" s="1"/>
  <c r="M62" i="10" s="1"/>
  <c r="M65" i="10" s="1"/>
  <c r="K50" i="10"/>
  <c r="L47" i="10" s="1"/>
  <c r="K52" i="10"/>
  <c r="K20" i="10"/>
  <c r="N2" i="10"/>
  <c r="J21" i="10"/>
  <c r="J22" i="10" s="1"/>
  <c r="K10" i="10"/>
  <c r="A1" i="6"/>
  <c r="I22" i="5"/>
  <c r="I11" i="8" l="1"/>
  <c r="J72" i="10"/>
  <c r="J70" i="10"/>
  <c r="I10" i="8"/>
  <c r="I12" i="8" s="1"/>
  <c r="I15" i="8" s="1"/>
  <c r="I18" i="8" s="1"/>
  <c r="J68" i="10"/>
  <c r="N62" i="10"/>
  <c r="N65" i="10" s="1"/>
  <c r="L50" i="10"/>
  <c r="M47" i="10" s="1"/>
  <c r="L52" i="10"/>
  <c r="L20" i="10"/>
  <c r="K21" i="10"/>
  <c r="K22" i="10" s="1"/>
  <c r="L10" i="10"/>
  <c r="K13" i="10"/>
  <c r="J2" i="6"/>
  <c r="K2" i="6" s="1"/>
  <c r="L2" i="6" s="1"/>
  <c r="M2" i="6" s="1"/>
  <c r="I39" i="8" l="1"/>
  <c r="J71" i="10"/>
  <c r="I58" i="8" s="1"/>
  <c r="K71" i="10"/>
  <c r="J58" i="8" s="1"/>
  <c r="J11" i="8"/>
  <c r="K72" i="10"/>
  <c r="K70" i="10"/>
  <c r="I44" i="8"/>
  <c r="I47" i="8" s="1"/>
  <c r="J73" i="10"/>
  <c r="I59" i="8" s="1"/>
  <c r="J10" i="8"/>
  <c r="K68" i="10"/>
  <c r="I38" i="8"/>
  <c r="K69" i="10"/>
  <c r="J57" i="8" s="1"/>
  <c r="J69" i="10"/>
  <c r="I57" i="8" s="1"/>
  <c r="M50" i="10"/>
  <c r="N47" i="10" s="1"/>
  <c r="N52" i="10" s="1"/>
  <c r="M52" i="10"/>
  <c r="M20" i="10"/>
  <c r="L21" i="10"/>
  <c r="L22" i="10" s="1"/>
  <c r="M10" i="10"/>
  <c r="L13" i="10"/>
  <c r="J4" i="6"/>
  <c r="K4" i="6" s="1"/>
  <c r="L4" i="6" s="1"/>
  <c r="M4" i="6" s="1"/>
  <c r="K10" i="8" l="1"/>
  <c r="L68" i="10"/>
  <c r="J38" i="8"/>
  <c r="L69" i="10"/>
  <c r="K57" i="8" s="1"/>
  <c r="J39" i="8"/>
  <c r="K11" i="8"/>
  <c r="L70" i="10"/>
  <c r="L72" i="10"/>
  <c r="J12" i="8"/>
  <c r="J15" i="8" s="1"/>
  <c r="J18" i="8" s="1"/>
  <c r="J44" i="8"/>
  <c r="J47" i="8" s="1"/>
  <c r="K73" i="10"/>
  <c r="J59" i="8" s="1"/>
  <c r="N20" i="10"/>
  <c r="N10" i="10"/>
  <c r="M21" i="10"/>
  <c r="M22" i="10" s="1"/>
  <c r="M13" i="10"/>
  <c r="N1" i="10"/>
  <c r="N3" i="10" s="1"/>
  <c r="L10" i="8" l="1"/>
  <c r="M68" i="10"/>
  <c r="K39" i="8"/>
  <c r="M71" i="10"/>
  <c r="L58" i="8" s="1"/>
  <c r="L11" i="8"/>
  <c r="M72" i="10"/>
  <c r="M70" i="10"/>
  <c r="L71" i="10"/>
  <c r="K58" i="8" s="1"/>
  <c r="K38" i="8"/>
  <c r="M69" i="10"/>
  <c r="L57" i="8" s="1"/>
  <c r="K44" i="8"/>
  <c r="K47" i="8" s="1"/>
  <c r="L73" i="10"/>
  <c r="K59" i="8" s="1"/>
  <c r="K12" i="8"/>
  <c r="K15" i="8" s="1"/>
  <c r="K18" i="8" s="1"/>
  <c r="N21" i="10"/>
  <c r="N22" i="10" s="1"/>
  <c r="N13" i="10"/>
  <c r="J1" i="6"/>
  <c r="I3" i="6"/>
  <c r="M11" i="8" l="1"/>
  <c r="N70" i="10"/>
  <c r="M39" i="8" s="1"/>
  <c r="N72" i="10"/>
  <c r="L44" i="8"/>
  <c r="L47" i="8" s="1"/>
  <c r="M73" i="10"/>
  <c r="L59" i="8" s="1"/>
  <c r="L38" i="8"/>
  <c r="M10" i="8"/>
  <c r="N68" i="10"/>
  <c r="M38" i="8" s="1"/>
  <c r="L39" i="8"/>
  <c r="N71" i="10"/>
  <c r="M58" i="8" s="1"/>
  <c r="L12" i="8"/>
  <c r="L15" i="8" s="1"/>
  <c r="L18" i="8" s="1"/>
  <c r="K1" i="6"/>
  <c r="J3" i="6"/>
  <c r="N69" i="10" l="1"/>
  <c r="M57" i="8" s="1"/>
  <c r="M44" i="8"/>
  <c r="M47" i="8" s="1"/>
  <c r="N73" i="10"/>
  <c r="M59" i="8" s="1"/>
  <c r="M12" i="8"/>
  <c r="M15" i="8" s="1"/>
  <c r="M18" i="8" s="1"/>
  <c r="L1" i="6"/>
  <c r="K3" i="6"/>
  <c r="M1" i="6" l="1"/>
  <c r="M3" i="6" s="1"/>
  <c r="L3" i="6"/>
  <c r="J19" i="8" l="1"/>
  <c r="J21" i="8" s="1"/>
  <c r="I93" i="8"/>
  <c r="I97" i="8" s="1"/>
  <c r="I19" i="8" s="1"/>
  <c r="I21" i="8" s="1"/>
  <c r="J93" i="8"/>
  <c r="K93" i="8"/>
  <c r="L93" i="8"/>
  <c r="M93" i="8"/>
  <c r="M97" i="8" s="1"/>
  <c r="M19" i="8" s="1"/>
  <c r="M21" i="8" s="1"/>
  <c r="L97" i="8"/>
  <c r="L19" i="8" s="1"/>
  <c r="L21" i="8" s="1"/>
  <c r="J97" i="8"/>
  <c r="K97" i="8"/>
  <c r="K19" i="8" s="1"/>
  <c r="K21" i="8" s="1"/>
  <c r="J76" i="10" l="1"/>
  <c r="J77" i="10" s="1"/>
  <c r="I22" i="8" s="1"/>
  <c r="I23" i="8" s="1"/>
  <c r="N76" i="10"/>
  <c r="N77" i="10" s="1"/>
  <c r="M22" i="8" s="1"/>
  <c r="M23" i="8" s="1"/>
  <c r="M76" i="10"/>
  <c r="M77" i="10" s="1"/>
  <c r="L22" i="8" s="1"/>
  <c r="L23" i="8" s="1"/>
  <c r="K76" i="10"/>
  <c r="K77" i="10" s="1"/>
  <c r="J22" i="8" s="1"/>
  <c r="J23" i="8" s="1"/>
  <c r="L76" i="10"/>
  <c r="L77" i="10" s="1"/>
  <c r="K22" i="8" s="1"/>
  <c r="K23" i="8" s="1"/>
  <c r="K80" i="10" l="1"/>
  <c r="K81" i="10" s="1"/>
  <c r="J28" i="8" s="1"/>
  <c r="J69" i="8" s="1"/>
  <c r="J27" i="8"/>
  <c r="J55" i="8"/>
  <c r="J62" i="8" s="1"/>
  <c r="L27" i="8"/>
  <c r="L55" i="8"/>
  <c r="L62" i="8" s="1"/>
  <c r="M80" i="10"/>
  <c r="M81" i="10" s="1"/>
  <c r="L28" i="8" s="1"/>
  <c r="L69" i="8" s="1"/>
  <c r="N80" i="10"/>
  <c r="N81" i="10" s="1"/>
  <c r="M28" i="8" s="1"/>
  <c r="M69" i="8" s="1"/>
  <c r="M27" i="8"/>
  <c r="M55" i="8"/>
  <c r="M62" i="8" s="1"/>
  <c r="J80" i="10"/>
  <c r="J81" i="10" s="1"/>
  <c r="I28" i="8" s="1"/>
  <c r="I69" i="8" s="1"/>
  <c r="I27" i="8"/>
  <c r="I29" i="8" s="1"/>
  <c r="I55" i="8"/>
  <c r="I62" i="8" s="1"/>
  <c r="K27" i="8"/>
  <c r="K55" i="8"/>
  <c r="K62" i="8" s="1"/>
  <c r="L80" i="10"/>
  <c r="L81" i="10" s="1"/>
  <c r="K28" i="8" s="1"/>
  <c r="K69" i="8" s="1"/>
  <c r="K71" i="8" l="1"/>
  <c r="K86" i="8"/>
  <c r="I49" i="8"/>
  <c r="I51" i="8" s="1"/>
  <c r="J26" i="8"/>
  <c r="J29" i="8" s="1"/>
  <c r="J81" i="8"/>
  <c r="I81" i="8"/>
  <c r="M71" i="8"/>
  <c r="M73" i="8" s="1"/>
  <c r="M86" i="8"/>
  <c r="K73" i="8"/>
  <c r="K81" i="8"/>
  <c r="I71" i="8"/>
  <c r="I73" i="8" s="1"/>
  <c r="I75" i="8" s="1"/>
  <c r="I86" i="8"/>
  <c r="L71" i="8"/>
  <c r="L86" i="8"/>
  <c r="M81" i="8"/>
  <c r="L73" i="8"/>
  <c r="L81" i="8"/>
  <c r="J71" i="8"/>
  <c r="J73" i="8" s="1"/>
  <c r="J86" i="8"/>
  <c r="I87" i="8" l="1"/>
  <c r="J49" i="8"/>
  <c r="J51" i="8" s="1"/>
  <c r="K26" i="8"/>
  <c r="K29" i="8" s="1"/>
  <c r="J74" i="8"/>
  <c r="J80" i="8" s="1"/>
  <c r="J87" i="8" s="1"/>
  <c r="I40" i="8"/>
  <c r="I41" i="8" s="1"/>
  <c r="I52" i="8" s="1"/>
  <c r="L26" i="8" l="1"/>
  <c r="L29" i="8" s="1"/>
  <c r="K49" i="8"/>
  <c r="K51" i="8" s="1"/>
  <c r="J75" i="8"/>
  <c r="K74" i="8" l="1"/>
  <c r="J40" i="8"/>
  <c r="J41" i="8" s="1"/>
  <c r="J52" i="8" s="1"/>
  <c r="M26" i="8"/>
  <c r="M29" i="8" s="1"/>
  <c r="M49" i="8" s="1"/>
  <c r="M51" i="8" s="1"/>
  <c r="L49" i="8"/>
  <c r="L51" i="8" s="1"/>
  <c r="K80" i="8" l="1"/>
  <c r="K87" i="8" s="1"/>
  <c r="K75" i="8"/>
  <c r="L74" i="8" l="1"/>
  <c r="K40" i="8"/>
  <c r="K41" i="8" s="1"/>
  <c r="K52" i="8" s="1"/>
  <c r="L80" i="8" l="1"/>
  <c r="L87" i="8" s="1"/>
  <c r="L75" i="8"/>
  <c r="L40" i="8" l="1"/>
  <c r="L41" i="8" s="1"/>
  <c r="L52" i="8" s="1"/>
  <c r="M74" i="8"/>
  <c r="M80" i="8" l="1"/>
  <c r="M87" i="8" s="1"/>
  <c r="M75" i="8"/>
  <c r="M40" i="8" s="1"/>
  <c r="M41" i="8" s="1"/>
  <c r="M52" i="8" s="1"/>
</calcChain>
</file>

<file path=xl/sharedStrings.xml><?xml version="1.0" encoding="utf-8"?>
<sst xmlns="http://schemas.openxmlformats.org/spreadsheetml/2006/main" count="325" uniqueCount="200">
  <si>
    <t>SCENERIO</t>
  </si>
  <si>
    <t>Best Case</t>
  </si>
  <si>
    <t xml:space="preserve">Base Case </t>
  </si>
  <si>
    <t>Worse Case</t>
  </si>
  <si>
    <t>Income statement</t>
  </si>
  <si>
    <t>Revenue</t>
  </si>
  <si>
    <t>Gross Profit</t>
  </si>
  <si>
    <t>Operating expenses</t>
  </si>
  <si>
    <t>EBITDA</t>
  </si>
  <si>
    <t>D&amp;A</t>
  </si>
  <si>
    <t xml:space="preserve">EBIT </t>
  </si>
  <si>
    <t>Interest expenses</t>
  </si>
  <si>
    <t>EBT</t>
  </si>
  <si>
    <t>Taxes</t>
  </si>
  <si>
    <t>Net Income</t>
  </si>
  <si>
    <t>Opening bal</t>
  </si>
  <si>
    <t>add: Net Income</t>
  </si>
  <si>
    <t>Less: Dividend</t>
  </si>
  <si>
    <t>closing Bal</t>
  </si>
  <si>
    <t>Inventory</t>
  </si>
  <si>
    <t>PP&amp;E</t>
  </si>
  <si>
    <t>Cash</t>
  </si>
  <si>
    <t>Assets</t>
  </si>
  <si>
    <t>Trade Payables</t>
  </si>
  <si>
    <t>Equity</t>
  </si>
  <si>
    <t>Liabilities &amp; Equity</t>
  </si>
  <si>
    <t>Cashflow statement</t>
  </si>
  <si>
    <t xml:space="preserve">Changes in Trade Receivables </t>
  </si>
  <si>
    <t>Changes in Trade Inventory</t>
  </si>
  <si>
    <t xml:space="preserve">Changes in Trade Paybles </t>
  </si>
  <si>
    <t>Changes in Other assets</t>
  </si>
  <si>
    <t xml:space="preserve">Changes in Other Liabilities </t>
  </si>
  <si>
    <t>Capex</t>
  </si>
  <si>
    <t>Dividend</t>
  </si>
  <si>
    <t>Net Cash Flow</t>
  </si>
  <si>
    <t xml:space="preserve"> </t>
  </si>
  <si>
    <t>Growth</t>
  </si>
  <si>
    <t xml:space="preserve">Account Payables </t>
  </si>
  <si>
    <t>General asumptions</t>
  </si>
  <si>
    <t>Days in a year</t>
  </si>
  <si>
    <t>Months in a year</t>
  </si>
  <si>
    <t>Statement of Financial Position</t>
  </si>
  <si>
    <t>Net income</t>
  </si>
  <si>
    <t>Add: depreciation</t>
  </si>
  <si>
    <t>Operating Cash flow</t>
  </si>
  <si>
    <t>Investing cashflow</t>
  </si>
  <si>
    <t>debt repayment</t>
  </si>
  <si>
    <t>Financing cashflow</t>
  </si>
  <si>
    <t>Beginnig cash Bal</t>
  </si>
  <si>
    <t>Ending Cash Bal</t>
  </si>
  <si>
    <t xml:space="preserve">Account receivables </t>
  </si>
  <si>
    <t>Movement</t>
  </si>
  <si>
    <t xml:space="preserve">Movement </t>
  </si>
  <si>
    <t>Company Information</t>
  </si>
  <si>
    <t>Industry</t>
  </si>
  <si>
    <t>Total asset</t>
  </si>
  <si>
    <t>Total Liabilities &amp; Equity</t>
  </si>
  <si>
    <t>Check</t>
  </si>
  <si>
    <t xml:space="preserve">Table of content </t>
  </si>
  <si>
    <t xml:space="preserve">Guide </t>
  </si>
  <si>
    <t>Output</t>
  </si>
  <si>
    <t xml:space="preserve">Financial position </t>
  </si>
  <si>
    <t>Cash flow statement</t>
  </si>
  <si>
    <t>Calculation</t>
  </si>
  <si>
    <t>Operation</t>
  </si>
  <si>
    <t xml:space="preserve">Company Name </t>
  </si>
  <si>
    <t xml:space="preserve">Manufacturing </t>
  </si>
  <si>
    <t>Modeller Information</t>
  </si>
  <si>
    <t>Yisau OI</t>
  </si>
  <si>
    <t xml:space="preserve">Modeller Name </t>
  </si>
  <si>
    <t>Date Information</t>
  </si>
  <si>
    <t xml:space="preserve">Forecast period </t>
  </si>
  <si>
    <t>Forecast start date</t>
  </si>
  <si>
    <t>Forecast End date</t>
  </si>
  <si>
    <t>Currency</t>
  </si>
  <si>
    <t>Naira</t>
  </si>
  <si>
    <t>3-statement Model</t>
  </si>
  <si>
    <t>years</t>
  </si>
  <si>
    <t>Start date</t>
  </si>
  <si>
    <t>End date</t>
  </si>
  <si>
    <t>Year Counter</t>
  </si>
  <si>
    <t>Model</t>
  </si>
  <si>
    <t>Input</t>
  </si>
  <si>
    <t>Model Guide</t>
  </si>
  <si>
    <t>Input cells</t>
  </si>
  <si>
    <t>operation</t>
  </si>
  <si>
    <t>Linked cells</t>
  </si>
  <si>
    <t xml:space="preserve">Headings </t>
  </si>
  <si>
    <t>Abcde</t>
  </si>
  <si>
    <t xml:space="preserve">Retained Earnings </t>
  </si>
  <si>
    <t>Key data</t>
  </si>
  <si>
    <t>abcde</t>
  </si>
  <si>
    <t xml:space="preserve">ABC BOTTLE WATER </t>
  </si>
  <si>
    <t>Forecast start year</t>
  </si>
  <si>
    <t>Forecast End year</t>
  </si>
  <si>
    <t>Sub-Total</t>
  </si>
  <si>
    <t>Total</t>
  </si>
  <si>
    <t>Inflation</t>
  </si>
  <si>
    <t>Selling price per pack</t>
  </si>
  <si>
    <t xml:space="preserve">Direct cost </t>
  </si>
  <si>
    <t xml:space="preserve">princing </t>
  </si>
  <si>
    <t xml:space="preserve">Plastic Bottle cost </t>
  </si>
  <si>
    <t>Packing and Packaging</t>
  </si>
  <si>
    <t xml:space="preserve">Labelling </t>
  </si>
  <si>
    <t>Volume and Quantity</t>
  </si>
  <si>
    <t>Capacity</t>
  </si>
  <si>
    <t>Quantity</t>
  </si>
  <si>
    <t>Operational Exepenses</t>
  </si>
  <si>
    <t>Maintenance and repair</t>
  </si>
  <si>
    <t>Transportation and distribution cost</t>
  </si>
  <si>
    <t>Regulatory and compliance cost</t>
  </si>
  <si>
    <t>Year</t>
  </si>
  <si>
    <t>Miscellaneous Costs</t>
  </si>
  <si>
    <t>Water treatment cost</t>
  </si>
  <si>
    <t>Energy cost (Utility)</t>
  </si>
  <si>
    <t xml:space="preserve">Salary &amp; wages </t>
  </si>
  <si>
    <t>1 Manager</t>
  </si>
  <si>
    <t>1 Supervisor</t>
  </si>
  <si>
    <t>2 sales representatives</t>
  </si>
  <si>
    <t>Factory guard</t>
  </si>
  <si>
    <t xml:space="preserve">7 Staff on daily  wages payment </t>
  </si>
  <si>
    <t>6 days per week</t>
  </si>
  <si>
    <t xml:space="preserve">Funding </t>
  </si>
  <si>
    <t xml:space="preserve">Source of Fund </t>
  </si>
  <si>
    <t>Long Term debt</t>
  </si>
  <si>
    <t>Personal contribution</t>
  </si>
  <si>
    <t xml:space="preserve">Revolving credit  for additional funding </t>
  </si>
  <si>
    <t>Loan Repayment Period</t>
  </si>
  <si>
    <t>Interest rate</t>
  </si>
  <si>
    <t>Property,Plant&amp;Equipment</t>
  </si>
  <si>
    <t>Water Source</t>
  </si>
  <si>
    <t xml:space="preserve">Motor Vehicle </t>
  </si>
  <si>
    <t>Bottling and Packaging Machinery</t>
  </si>
  <si>
    <t>Water Storage Tanks</t>
  </si>
  <si>
    <t>Working Capital</t>
  </si>
  <si>
    <t xml:space="preserve">Inventory Days </t>
  </si>
  <si>
    <t>Days</t>
  </si>
  <si>
    <t xml:space="preserve">Receivable Days </t>
  </si>
  <si>
    <t>Payables Days</t>
  </si>
  <si>
    <t>Months</t>
  </si>
  <si>
    <t xml:space="preserve">Growth </t>
  </si>
  <si>
    <t xml:space="preserve">Total Revenue </t>
  </si>
  <si>
    <t xml:space="preserve">Direct Cost </t>
  </si>
  <si>
    <t>Total Quantity</t>
  </si>
  <si>
    <t>a</t>
  </si>
  <si>
    <t>Price per Quantity</t>
  </si>
  <si>
    <t>(a*b)</t>
  </si>
  <si>
    <t>b</t>
  </si>
  <si>
    <t>Estimated year</t>
  </si>
  <si>
    <t>Depreciation Rate</t>
  </si>
  <si>
    <t>Total Direct cost</t>
  </si>
  <si>
    <t>Operating Expense</t>
  </si>
  <si>
    <t xml:space="preserve">Salaries &amp; Wages </t>
  </si>
  <si>
    <t>3 senior Factory workers</t>
  </si>
  <si>
    <t>Weeks in a year</t>
  </si>
  <si>
    <t xml:space="preserve">Total Operating Expenses </t>
  </si>
  <si>
    <t>Source of Funding</t>
  </si>
  <si>
    <t xml:space="preserve">Total </t>
  </si>
  <si>
    <t>Debt Schedule</t>
  </si>
  <si>
    <t>Opening Bals</t>
  </si>
  <si>
    <t>Additions</t>
  </si>
  <si>
    <t>Repayment</t>
  </si>
  <si>
    <t>Closing Bals</t>
  </si>
  <si>
    <t>Interest</t>
  </si>
  <si>
    <t>Use of Fund</t>
  </si>
  <si>
    <t>Total PPE</t>
  </si>
  <si>
    <t>PPE Schedule</t>
  </si>
  <si>
    <t>Depreciation</t>
  </si>
  <si>
    <t xml:space="preserve">Closing Bals </t>
  </si>
  <si>
    <t>Non - Current Asset</t>
  </si>
  <si>
    <t xml:space="preserve">Receivables </t>
  </si>
  <si>
    <t xml:space="preserve">Long term debt </t>
  </si>
  <si>
    <t xml:space="preserve">Total Liabities </t>
  </si>
  <si>
    <t xml:space="preserve">Revolver </t>
  </si>
  <si>
    <t>=</t>
  </si>
  <si>
    <t>Available Cash</t>
  </si>
  <si>
    <t xml:space="preserve">Beginning Cash Balance </t>
  </si>
  <si>
    <t>Cash from Operation</t>
  </si>
  <si>
    <t xml:space="preserve">Cash form Investing </t>
  </si>
  <si>
    <t xml:space="preserve">Cash Available for revolver </t>
  </si>
  <si>
    <t>Beginnig Balance</t>
  </si>
  <si>
    <t xml:space="preserve">Changes in Revolver </t>
  </si>
  <si>
    <t>Ending Balance</t>
  </si>
  <si>
    <t>Revolver Interest</t>
  </si>
  <si>
    <t>Interest Expense</t>
  </si>
  <si>
    <t>Total Interest Expense</t>
  </si>
  <si>
    <t>Taxation</t>
  </si>
  <si>
    <t>Earnings before Tax</t>
  </si>
  <si>
    <t xml:space="preserve">Taxes </t>
  </si>
  <si>
    <t xml:space="preserve">Dividend </t>
  </si>
  <si>
    <t>Net Earnings</t>
  </si>
  <si>
    <t>Capital Contribution</t>
  </si>
  <si>
    <t xml:space="preserve">Debt issue </t>
  </si>
  <si>
    <t>Debt repayement</t>
  </si>
  <si>
    <t>All figures are in #(Naira)</t>
  </si>
  <si>
    <t>Ratio Analysis</t>
  </si>
  <si>
    <t>Profitability Ratios</t>
  </si>
  <si>
    <t>Return on Equity</t>
  </si>
  <si>
    <t>Return on Assets</t>
  </si>
  <si>
    <t>Total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</si>
</sst>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year&quot;\ \ 0"/>
    <numFmt numFmtId="165" formatCode="0.0%"/>
    <numFmt numFmtId="166" formatCode="0\ &quot;years&quot;"/>
    <numFmt numFmtId="167" formatCode="#,##0\ &quot;Days&quot;_);\(#,##0\)"/>
    <numFmt numFmtId="168" formatCode="\ 0\ &quot;Days&quot;"/>
    <numFmt numFmtId="169" formatCode="0\ \ &quot;Months&quot;"/>
    <numFmt numFmtId="170" formatCode="0\ &quot;Weeks&quot;"/>
    <numFmt numFmtId="171" formatCode="0\ &quot;Days per week&quot;"/>
    <numFmt numFmtId="172" formatCode="#,##0.00_);\(#,##0.00\);\-"/>
    <numFmt numFmtId="173" formatCode="#,##0_);\(#,##0\);\-"/>
  </numFmts>
  <fonts count="1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Segoe UI Light"/>
      <family val="2"/>
    </font>
    <font>
      <b/>
      <sz val="10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00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theme="4" tint="0.39994506668294322"/>
      </left>
      <right style="hair">
        <color theme="4" tint="0.39994506668294322"/>
      </right>
      <top style="hair">
        <color theme="4" tint="0.39994506668294322"/>
      </top>
      <bottom style="hair">
        <color theme="4" tint="0.39994506668294322"/>
      </bottom>
      <diagonal/>
    </border>
    <border>
      <left style="hair">
        <color rgb="FF333300"/>
      </left>
      <right style="hair">
        <color rgb="FF333300"/>
      </right>
      <top style="hair">
        <color rgb="FF333300"/>
      </top>
      <bottom style="hair">
        <color rgb="FF333300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FF0000"/>
      </left>
      <right style="hair">
        <color rgb="FFFF0000"/>
      </right>
      <top/>
      <bottom style="hair">
        <color rgb="FFFF0000"/>
      </bottom>
      <diagonal/>
    </border>
    <border>
      <left style="hair">
        <color rgb="FF333300"/>
      </left>
      <right style="hair">
        <color rgb="FF333300"/>
      </right>
      <top/>
      <bottom style="hair">
        <color rgb="FF333300"/>
      </bottom>
      <diagonal/>
    </border>
  </borders>
  <cellStyleXfs count="10">
    <xf numFmtId="0" fontId="0" fillId="0" borderId="0"/>
    <xf numFmtId="37" fontId="1" fillId="0" borderId="11" applyAlignment="0" applyProtection="0"/>
    <xf numFmtId="37" fontId="9" fillId="0" borderId="13" applyAlignment="0" applyProtection="0"/>
    <xf numFmtId="37" fontId="9" fillId="2" borderId="12" applyFill="0" applyAlignment="0" applyProtection="0"/>
    <xf numFmtId="0" fontId="4" fillId="3" borderId="0" applyNumberFormat="0" applyAlignment="0" applyProtection="0"/>
    <xf numFmtId="0" fontId="2" fillId="6" borderId="0" applyNumberFormat="0" applyAlignment="0" applyProtection="0"/>
    <xf numFmtId="0" fontId="2" fillId="0" borderId="14" applyNumberFormat="0" applyFill="0" applyAlignment="0" applyProtection="0"/>
    <xf numFmtId="0" fontId="2" fillId="0" borderId="1" applyNumberFormat="0" applyFill="0" applyAlignment="0" applyProtection="0"/>
    <xf numFmtId="9" fontId="12" fillId="0" borderId="0" applyFont="0" applyFill="0" applyBorder="0" applyAlignment="0" applyProtection="0"/>
    <xf numFmtId="0" fontId="14" fillId="0" borderId="0"/>
  </cellStyleXfs>
  <cellXfs count="119">
    <xf numFmtId="0" fontId="0" fillId="0" borderId="0" xfId="0"/>
    <xf numFmtId="1" fontId="0" fillId="0" borderId="0" xfId="0" applyNumberFormat="1"/>
    <xf numFmtId="9" fontId="0" fillId="0" borderId="0" xfId="0" applyNumberForma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0" fillId="0" borderId="1" xfId="0" applyBorder="1"/>
    <xf numFmtId="37" fontId="0" fillId="0" borderId="0" xfId="0" applyNumberFormat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3" borderId="2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0" xfId="0" applyFill="1" applyBorder="1"/>
    <xf numFmtId="0" fontId="0" fillId="3" borderId="1" xfId="0" applyFill="1" applyBorder="1"/>
    <xf numFmtId="0" fontId="0" fillId="3" borderId="7" xfId="0" applyFill="1" applyBorder="1"/>
    <xf numFmtId="0" fontId="5" fillId="0" borderId="0" xfId="0" applyFont="1"/>
    <xf numFmtId="0" fontId="5" fillId="3" borderId="0" xfId="0" applyFont="1" applyFill="1" applyBorder="1"/>
    <xf numFmtId="0" fontId="6" fillId="3" borderId="0" xfId="0" applyFont="1" applyFill="1" applyBorder="1"/>
    <xf numFmtId="0" fontId="7" fillId="3" borderId="0" xfId="0" applyFont="1" applyFill="1" applyBorder="1"/>
    <xf numFmtId="0" fontId="6" fillId="3" borderId="4" xfId="0" applyFont="1" applyFill="1" applyBorder="1"/>
    <xf numFmtId="0" fontId="7" fillId="3" borderId="4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6" fillId="3" borderId="10" xfId="0" applyFont="1" applyFill="1" applyBorder="1"/>
    <xf numFmtId="0" fontId="2" fillId="0" borderId="0" xfId="0" applyFont="1" applyBorder="1"/>
    <xf numFmtId="0" fontId="0" fillId="0" borderId="1" xfId="0" applyFont="1" applyBorder="1"/>
    <xf numFmtId="0" fontId="0" fillId="0" borderId="0" xfId="0" applyFill="1" applyBorder="1"/>
    <xf numFmtId="0" fontId="0" fillId="0" borderId="0" xfId="0" applyBorder="1" applyAlignment="1">
      <alignment horizontal="right"/>
    </xf>
    <xf numFmtId="0" fontId="0" fillId="0" borderId="1" xfId="0" applyFill="1" applyBorder="1"/>
    <xf numFmtId="0" fontId="0" fillId="0" borderId="1" xfId="0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8" fillId="0" borderId="0" xfId="0" applyFont="1" applyBorder="1" applyAlignment="1">
      <alignment horizontal="centerContinuous"/>
    </xf>
    <xf numFmtId="0" fontId="2" fillId="4" borderId="0" xfId="0" applyFont="1" applyFill="1"/>
    <xf numFmtId="0" fontId="2" fillId="5" borderId="0" xfId="0" applyFont="1" applyFill="1"/>
    <xf numFmtId="15" fontId="2" fillId="5" borderId="0" xfId="0" applyNumberFormat="1" applyFont="1" applyFill="1"/>
    <xf numFmtId="37" fontId="1" fillId="0" borderId="11" xfId="1"/>
    <xf numFmtId="37" fontId="9" fillId="0" borderId="12" xfId="3" applyFill="1"/>
    <xf numFmtId="37" fontId="9" fillId="0" borderId="13" xfId="2"/>
    <xf numFmtId="0" fontId="4" fillId="3" borderId="0" xfId="4"/>
    <xf numFmtId="0" fontId="4" fillId="3" borderId="0" xfId="4" applyAlignment="1">
      <alignment horizontal="right"/>
    </xf>
    <xf numFmtId="37" fontId="4" fillId="3" borderId="0" xfId="4" applyNumberFormat="1"/>
    <xf numFmtId="0" fontId="2" fillId="6" borderId="0" xfId="5"/>
    <xf numFmtId="0" fontId="2" fillId="6" borderId="0" xfId="5" applyAlignment="1">
      <alignment horizontal="right"/>
    </xf>
    <xf numFmtId="0" fontId="2" fillId="0" borderId="7" xfId="0" applyFont="1" applyBorder="1"/>
    <xf numFmtId="0" fontId="0" fillId="0" borderId="2" xfId="0" applyBorder="1"/>
    <xf numFmtId="0" fontId="0" fillId="0" borderId="4" xfId="0" applyBorder="1"/>
    <xf numFmtId="37" fontId="1" fillId="0" borderId="11" xfId="1" applyBorder="1" applyAlignment="1">
      <alignment horizontal="right"/>
    </xf>
    <xf numFmtId="37" fontId="1" fillId="0" borderId="11" xfId="1" applyBorder="1"/>
    <xf numFmtId="0" fontId="1" fillId="0" borderId="11" xfId="1" applyNumberFormat="1" applyBorder="1"/>
    <xf numFmtId="0" fontId="0" fillId="0" borderId="6" xfId="0" applyBorder="1"/>
    <xf numFmtId="15" fontId="1" fillId="0" borderId="11" xfId="1" applyNumberFormat="1" applyBorder="1"/>
    <xf numFmtId="164" fontId="2" fillId="5" borderId="0" xfId="0" applyNumberFormat="1" applyFont="1" applyFill="1"/>
    <xf numFmtId="0" fontId="2" fillId="0" borderId="1" xfId="7"/>
    <xf numFmtId="0" fontId="2" fillId="0" borderId="14" xfId="6"/>
    <xf numFmtId="37" fontId="1" fillId="0" borderId="15" xfId="1" applyBorder="1"/>
    <xf numFmtId="9" fontId="1" fillId="0" borderId="11" xfId="1" applyNumberFormat="1"/>
    <xf numFmtId="1" fontId="0" fillId="0" borderId="7" xfId="0" applyNumberFormat="1" applyBorder="1"/>
    <xf numFmtId="0" fontId="2" fillId="0" borderId="0" xfId="0" applyFont="1" applyFill="1" applyBorder="1"/>
    <xf numFmtId="165" fontId="1" fillId="0" borderId="11" xfId="1" applyNumberFormat="1"/>
    <xf numFmtId="166" fontId="1" fillId="0" borderId="11" xfId="1" applyNumberFormat="1"/>
    <xf numFmtId="167" fontId="1" fillId="0" borderId="11" xfId="1" applyNumberFormat="1"/>
    <xf numFmtId="167" fontId="1" fillId="0" borderId="15" xfId="1" applyNumberFormat="1" applyBorder="1"/>
    <xf numFmtId="37" fontId="2" fillId="0" borderId="14" xfId="6" applyNumberFormat="1" applyFill="1"/>
    <xf numFmtId="1" fontId="2" fillId="0" borderId="0" xfId="0" applyNumberFormat="1" applyFont="1"/>
    <xf numFmtId="0" fontId="0" fillId="0" borderId="0" xfId="0" applyFont="1"/>
    <xf numFmtId="3" fontId="2" fillId="0" borderId="14" xfId="6" applyNumberFormat="1"/>
    <xf numFmtId="3" fontId="0" fillId="0" borderId="0" xfId="0" applyNumberFormat="1"/>
    <xf numFmtId="37" fontId="9" fillId="0" borderId="16" xfId="2" applyBorder="1"/>
    <xf numFmtId="168" fontId="1" fillId="0" borderId="15" xfId="1" applyNumberFormat="1" applyBorder="1"/>
    <xf numFmtId="169" fontId="1" fillId="0" borderId="11" xfId="1" applyNumberFormat="1"/>
    <xf numFmtId="170" fontId="1" fillId="0" borderId="11" xfId="1" applyNumberFormat="1"/>
    <xf numFmtId="171" fontId="0" fillId="0" borderId="0" xfId="0" applyNumberFormat="1"/>
    <xf numFmtId="37" fontId="9" fillId="0" borderId="0" xfId="2" applyBorder="1"/>
    <xf numFmtId="37" fontId="2" fillId="0" borderId="14" xfId="6" applyNumberFormat="1"/>
    <xf numFmtId="0" fontId="10" fillId="0" borderId="7" xfId="0" applyFont="1" applyBorder="1" applyAlignment="1">
      <alignment horizontal="left"/>
    </xf>
    <xf numFmtId="9" fontId="9" fillId="0" borderId="13" xfId="8" applyFont="1" applyBorder="1"/>
    <xf numFmtId="0" fontId="0" fillId="0" borderId="0" xfId="0" applyFill="1"/>
    <xf numFmtId="37" fontId="0" fillId="0" borderId="0" xfId="0" applyNumberFormat="1" applyFill="1"/>
    <xf numFmtId="0" fontId="2" fillId="0" borderId="0" xfId="0" applyFont="1" applyFill="1"/>
    <xf numFmtId="37" fontId="9" fillId="0" borderId="13" xfId="2" applyAlignment="1"/>
    <xf numFmtId="1" fontId="0" fillId="0" borderId="0" xfId="0" applyNumberFormat="1" applyAlignment="1"/>
    <xf numFmtId="0" fontId="10" fillId="4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7" xfId="0" applyFont="1" applyBorder="1" applyAlignment="1">
      <alignment horizontal="left"/>
    </xf>
    <xf numFmtId="1" fontId="3" fillId="0" borderId="7" xfId="0" applyNumberFormat="1" applyFont="1" applyBorder="1"/>
    <xf numFmtId="0" fontId="3" fillId="0" borderId="7" xfId="0" applyFont="1" applyBorder="1"/>
    <xf numFmtId="1" fontId="2" fillId="0" borderId="14" xfId="6" applyNumberFormat="1"/>
    <xf numFmtId="0" fontId="2" fillId="0" borderId="14" xfId="6" applyAlignment="1">
      <alignment horizontal="left"/>
    </xf>
    <xf numFmtId="172" fontId="9" fillId="0" borderId="12" xfId="3" applyNumberFormat="1" applyFill="1"/>
    <xf numFmtId="9" fontId="0" fillId="0" borderId="7" xfId="0" applyNumberFormat="1" applyBorder="1"/>
    <xf numFmtId="4" fontId="2" fillId="0" borderId="14" xfId="6" applyNumberFormat="1"/>
    <xf numFmtId="4" fontId="2" fillId="0" borderId="14" xfId="6" applyNumberFormat="1" applyFill="1"/>
    <xf numFmtId="9" fontId="2" fillId="0" borderId="14" xfId="6" applyNumberFormat="1"/>
    <xf numFmtId="37" fontId="11" fillId="0" borderId="12" xfId="3" applyFont="1" applyFill="1"/>
    <xf numFmtId="0" fontId="2" fillId="0" borderId="14" xfId="6" applyFill="1"/>
    <xf numFmtId="0" fontId="2" fillId="0" borderId="1" xfId="7" applyFill="1"/>
    <xf numFmtId="173" fontId="9" fillId="0" borderId="13" xfId="2" applyNumberFormat="1"/>
    <xf numFmtId="173" fontId="2" fillId="0" borderId="1" xfId="7" applyNumberFormat="1"/>
    <xf numFmtId="173" fontId="0" fillId="0" borderId="0" xfId="0" applyNumberFormat="1"/>
    <xf numFmtId="173" fontId="2" fillId="0" borderId="14" xfId="6" applyNumberFormat="1"/>
    <xf numFmtId="0" fontId="2" fillId="0" borderId="0" xfId="7" applyBorder="1"/>
    <xf numFmtId="173" fontId="4" fillId="3" borderId="0" xfId="4" applyNumberFormat="1"/>
    <xf numFmtId="173" fontId="2" fillId="0" borderId="0" xfId="7" applyNumberFormat="1" applyBorder="1"/>
    <xf numFmtId="9" fontId="1" fillId="0" borderId="11" xfId="8" applyFont="1" applyBorder="1"/>
    <xf numFmtId="165" fontId="9" fillId="0" borderId="13" xfId="8" applyNumberFormat="1" applyFont="1" applyBorder="1"/>
    <xf numFmtId="0" fontId="11" fillId="4" borderId="0" xfId="0" applyFont="1" applyFill="1" applyAlignment="1">
      <alignment horizontal="left"/>
    </xf>
    <xf numFmtId="0" fontId="11" fillId="4" borderId="0" xfId="0" applyFont="1" applyFill="1"/>
    <xf numFmtId="0" fontId="15" fillId="0" borderId="0" xfId="9" applyFont="1"/>
    <xf numFmtId="0" fontId="15" fillId="0" borderId="0" xfId="9" quotePrefix="1" applyFont="1" applyAlignment="1">
      <alignment horizontal="center"/>
    </xf>
    <xf numFmtId="0" fontId="15" fillId="0" borderId="7" xfId="9" applyFont="1" applyBorder="1" applyAlignment="1">
      <alignment horizontal="center"/>
    </xf>
    <xf numFmtId="0" fontId="15" fillId="0" borderId="0" xfId="9" applyFont="1" applyAlignment="1">
      <alignment horizontal="center"/>
    </xf>
    <xf numFmtId="0" fontId="16" fillId="0" borderId="0" xfId="9" applyFont="1"/>
    <xf numFmtId="3" fontId="0" fillId="0" borderId="7" xfId="0" applyNumberFormat="1" applyBorder="1"/>
    <xf numFmtId="10" fontId="9" fillId="0" borderId="13" xfId="8" applyNumberFormat="1" applyFont="1" applyBorder="1"/>
  </cellXfs>
  <cellStyles count="10">
    <cellStyle name="Headings" xfId="4" xr:uid="{00000000-0005-0000-0000-000000000000}"/>
    <cellStyle name="Input" xfId="1" builtinId="20" customBuiltin="1"/>
    <cellStyle name="Key data" xfId="5" xr:uid="{00000000-0005-0000-0000-000002000000}"/>
    <cellStyle name="Linked Cell" xfId="2" builtinId="24" customBuiltin="1"/>
    <cellStyle name="Normal" xfId="0" builtinId="0"/>
    <cellStyle name="Normal_Wal-Mart Financial Statements" xfId="9" xr:uid="{B952397D-E841-4769-BE4B-9B7F6A28B132}"/>
    <cellStyle name="Operation" xfId="3" xr:uid="{00000000-0005-0000-0000-000005000000}"/>
    <cellStyle name="Percent" xfId="8" builtinId="5"/>
    <cellStyle name="Sub-Total" xfId="7" xr:uid="{00000000-0005-0000-0000-000006000000}"/>
    <cellStyle name="Total" xfId="6" builtinId="25" customBuiltin="1"/>
  </cellStyles>
  <dxfs count="0"/>
  <tableStyles count="0" defaultTableStyle="TableStyleMedium2" defaultPivotStyle="PivotStyleLight16"/>
  <colors>
    <mruColors>
      <color rgb="FFFFFF99"/>
      <color rgb="FF000066"/>
      <color rgb="FF33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25"/>
  <sheetViews>
    <sheetView showGridLines="0" zoomScale="80" zoomScaleNormal="80" workbookViewId="0">
      <selection activeCell="H20" sqref="H20"/>
    </sheetView>
  </sheetViews>
  <sheetFormatPr defaultRowHeight="15" x14ac:dyDescent="0.25"/>
  <cols>
    <col min="1" max="2" width="3.42578125" customWidth="1"/>
    <col min="3" max="3" width="30.140625" customWidth="1"/>
    <col min="4" max="6" width="3.140625" customWidth="1"/>
    <col min="7" max="10" width="19.42578125" customWidth="1"/>
  </cols>
  <sheetData>
    <row r="1" spans="1:10" x14ac:dyDescent="0.25">
      <c r="A1" s="13"/>
      <c r="B1" s="17"/>
      <c r="C1" s="17"/>
      <c r="D1" s="48"/>
      <c r="E1" s="6"/>
      <c r="F1" s="33"/>
      <c r="G1" s="33"/>
      <c r="H1" s="33"/>
      <c r="I1" s="33"/>
      <c r="J1" s="8"/>
    </row>
    <row r="2" spans="1:10" ht="47.25" thickBot="1" x14ac:dyDescent="0.75">
      <c r="A2" s="14"/>
      <c r="B2" s="22" t="s">
        <v>58</v>
      </c>
      <c r="C2" s="16"/>
      <c r="D2" s="49"/>
      <c r="E2" s="9"/>
      <c r="F2" s="35" t="s">
        <v>92</v>
      </c>
      <c r="G2" s="34"/>
      <c r="H2" s="34"/>
      <c r="I2" s="34"/>
      <c r="J2" s="10"/>
    </row>
    <row r="3" spans="1:10" x14ac:dyDescent="0.25">
      <c r="A3" s="25"/>
      <c r="B3" s="26"/>
      <c r="C3" s="26"/>
      <c r="D3" s="49"/>
      <c r="E3" s="9"/>
      <c r="F3" s="34"/>
      <c r="G3" s="34"/>
      <c r="H3" s="34"/>
      <c r="I3" s="34"/>
      <c r="J3" s="10"/>
    </row>
    <row r="4" spans="1:10" ht="15.75" thickBot="1" x14ac:dyDescent="0.3">
      <c r="A4" s="24" t="s">
        <v>59</v>
      </c>
      <c r="B4" s="16"/>
      <c r="C4" s="16"/>
      <c r="D4" s="49"/>
      <c r="E4" s="9"/>
      <c r="F4" s="9"/>
      <c r="G4" s="9"/>
      <c r="H4" s="9"/>
      <c r="I4" s="9"/>
      <c r="J4" s="10"/>
    </row>
    <row r="5" spans="1:10" x14ac:dyDescent="0.25">
      <c r="A5" s="25"/>
      <c r="B5" s="26"/>
      <c r="C5" s="26"/>
      <c r="D5" s="49"/>
      <c r="E5" s="28" t="s">
        <v>53</v>
      </c>
      <c r="F5" s="9"/>
      <c r="G5" s="9"/>
      <c r="H5" s="9"/>
      <c r="I5" s="9"/>
      <c r="J5" s="10"/>
    </row>
    <row r="6" spans="1:10" ht="15.75" thickBot="1" x14ac:dyDescent="0.3">
      <c r="A6" s="24" t="s">
        <v>60</v>
      </c>
      <c r="B6" s="16"/>
      <c r="C6" s="16"/>
      <c r="D6" s="49"/>
      <c r="E6" s="6"/>
      <c r="F6" s="29" t="s">
        <v>65</v>
      </c>
      <c r="G6" s="6"/>
      <c r="H6" s="6"/>
      <c r="I6" s="50" t="s">
        <v>92</v>
      </c>
      <c r="J6" s="10"/>
    </row>
    <row r="7" spans="1:10" x14ac:dyDescent="0.25">
      <c r="A7" s="25"/>
      <c r="B7" s="27" t="s">
        <v>4</v>
      </c>
      <c r="C7" s="26"/>
      <c r="D7" s="49"/>
      <c r="E7" s="9"/>
      <c r="F7" s="9" t="s">
        <v>54</v>
      </c>
      <c r="G7" s="9"/>
      <c r="H7" s="9"/>
      <c r="I7" s="50" t="s">
        <v>66</v>
      </c>
      <c r="J7" s="10"/>
    </row>
    <row r="8" spans="1:10" x14ac:dyDescent="0.25">
      <c r="A8" s="23"/>
      <c r="B8" s="21" t="s">
        <v>61</v>
      </c>
      <c r="C8" s="20"/>
      <c r="D8" s="49"/>
      <c r="E8" s="9"/>
      <c r="F8" s="9"/>
      <c r="G8" s="9"/>
      <c r="H8" s="9"/>
      <c r="I8" s="31"/>
      <c r="J8" s="10"/>
    </row>
    <row r="9" spans="1:10" x14ac:dyDescent="0.25">
      <c r="A9" s="14"/>
      <c r="B9" s="21" t="s">
        <v>62</v>
      </c>
      <c r="C9" s="21"/>
      <c r="D9" s="49"/>
      <c r="E9" s="28" t="s">
        <v>67</v>
      </c>
      <c r="F9" s="9"/>
      <c r="G9" s="9"/>
      <c r="H9" s="9"/>
      <c r="I9" s="31"/>
      <c r="J9" s="10"/>
    </row>
    <row r="10" spans="1:10" x14ac:dyDescent="0.25">
      <c r="A10" s="14"/>
      <c r="B10" s="16"/>
      <c r="C10" s="16"/>
      <c r="D10" s="49"/>
      <c r="E10" s="6" t="s">
        <v>35</v>
      </c>
      <c r="F10" s="6" t="s">
        <v>69</v>
      </c>
      <c r="G10" s="6"/>
      <c r="H10" s="6"/>
      <c r="I10" s="50" t="s">
        <v>68</v>
      </c>
      <c r="J10" s="10"/>
    </row>
    <row r="11" spans="1:10" ht="15.75" thickBot="1" x14ac:dyDescent="0.3">
      <c r="A11" s="24" t="s">
        <v>63</v>
      </c>
      <c r="B11" s="16"/>
      <c r="C11" s="21"/>
      <c r="D11" s="49"/>
      <c r="E11" s="9"/>
      <c r="F11" s="9"/>
      <c r="G11" s="9"/>
      <c r="H11" s="9"/>
      <c r="I11" s="9"/>
      <c r="J11" s="10"/>
    </row>
    <row r="12" spans="1:10" x14ac:dyDescent="0.25">
      <c r="A12" s="25"/>
      <c r="B12" s="27" t="s">
        <v>64</v>
      </c>
      <c r="C12" s="26"/>
      <c r="D12" s="49"/>
      <c r="E12" s="47" t="s">
        <v>70</v>
      </c>
      <c r="F12" s="11"/>
      <c r="G12" s="11"/>
      <c r="H12" s="11"/>
      <c r="I12" s="9"/>
      <c r="J12" s="10"/>
    </row>
    <row r="13" spans="1:10" x14ac:dyDescent="0.25">
      <c r="A13" s="14"/>
      <c r="B13" s="16"/>
      <c r="C13" s="16"/>
      <c r="D13" s="49"/>
      <c r="E13" s="9"/>
      <c r="F13" s="30" t="s">
        <v>71</v>
      </c>
      <c r="G13" s="9"/>
      <c r="H13" s="9"/>
      <c r="I13" s="51">
        <v>5</v>
      </c>
      <c r="J13" s="10"/>
    </row>
    <row r="14" spans="1:10" ht="15.75" thickBot="1" x14ac:dyDescent="0.3">
      <c r="A14" s="24" t="s">
        <v>81</v>
      </c>
      <c r="B14" s="16"/>
      <c r="C14" s="16"/>
      <c r="D14" s="49"/>
      <c r="E14" s="9"/>
      <c r="F14" s="30" t="s">
        <v>93</v>
      </c>
      <c r="G14" s="9"/>
      <c r="H14" s="9"/>
      <c r="I14" s="52">
        <v>2025</v>
      </c>
      <c r="J14" s="10"/>
    </row>
    <row r="15" spans="1:10" x14ac:dyDescent="0.25">
      <c r="A15" s="25"/>
      <c r="B15" s="27" t="s">
        <v>82</v>
      </c>
      <c r="C15" s="26"/>
      <c r="D15" s="49"/>
      <c r="E15" s="9"/>
      <c r="F15" s="30" t="s">
        <v>94</v>
      </c>
      <c r="G15" s="9"/>
      <c r="H15" s="9"/>
      <c r="I15" s="52">
        <f>I14+4</f>
        <v>2029</v>
      </c>
      <c r="J15" s="10"/>
    </row>
    <row r="16" spans="1:10" x14ac:dyDescent="0.25">
      <c r="A16" s="14"/>
      <c r="B16" s="16"/>
      <c r="C16" s="16"/>
      <c r="D16" s="49"/>
      <c r="E16" s="9"/>
      <c r="F16" s="30" t="s">
        <v>72</v>
      </c>
      <c r="G16" s="9"/>
      <c r="H16" s="9"/>
      <c r="I16" s="54">
        <f>DATE(I14,1,1)</f>
        <v>45658</v>
      </c>
      <c r="J16" s="10"/>
    </row>
    <row r="17" spans="1:12" x14ac:dyDescent="0.25">
      <c r="A17" s="14"/>
      <c r="B17" s="16"/>
      <c r="C17" s="16"/>
      <c r="D17" s="49"/>
      <c r="E17" s="9"/>
      <c r="F17" s="30" t="s">
        <v>73</v>
      </c>
      <c r="G17" s="9"/>
      <c r="H17" s="9"/>
      <c r="I17" s="54">
        <f>DATE(I15,1,1)</f>
        <v>47119</v>
      </c>
      <c r="J17" s="10"/>
      <c r="L17" s="19"/>
    </row>
    <row r="18" spans="1:12" x14ac:dyDescent="0.25">
      <c r="A18" s="14"/>
      <c r="B18" s="16"/>
      <c r="C18" s="16"/>
      <c r="D18" s="49"/>
      <c r="E18" s="9"/>
      <c r="F18" s="9"/>
      <c r="G18" s="9"/>
      <c r="H18" s="9" t="s">
        <v>35</v>
      </c>
      <c r="I18" s="9"/>
      <c r="J18" s="10"/>
    </row>
    <row r="19" spans="1:12" x14ac:dyDescent="0.25">
      <c r="A19" s="14"/>
      <c r="B19" s="16"/>
      <c r="C19" s="16"/>
      <c r="D19" s="49"/>
      <c r="E19" s="9"/>
      <c r="F19" s="9"/>
      <c r="G19" s="9"/>
      <c r="H19" s="9"/>
      <c r="I19" s="9"/>
      <c r="J19" s="10"/>
    </row>
    <row r="20" spans="1:12" x14ac:dyDescent="0.25">
      <c r="A20" s="14"/>
      <c r="B20" s="16"/>
      <c r="C20" s="16"/>
      <c r="D20" s="49"/>
      <c r="E20" s="9"/>
      <c r="F20" s="9"/>
      <c r="G20" s="9"/>
      <c r="H20" s="9"/>
      <c r="I20" s="9"/>
      <c r="J20" s="10"/>
    </row>
    <row r="21" spans="1:12" x14ac:dyDescent="0.25">
      <c r="A21" s="14"/>
      <c r="B21" s="16"/>
      <c r="C21" s="16"/>
      <c r="D21" s="49"/>
      <c r="E21" s="28" t="s">
        <v>74</v>
      </c>
      <c r="F21" s="9"/>
      <c r="G21" s="9"/>
      <c r="H21" s="9"/>
      <c r="I21" s="9"/>
      <c r="J21" s="10"/>
    </row>
    <row r="22" spans="1:12" x14ac:dyDescent="0.25">
      <c r="A22" s="14"/>
      <c r="B22" s="16"/>
      <c r="C22" s="16"/>
      <c r="D22" s="49"/>
      <c r="E22" s="6"/>
      <c r="F22" s="32" t="s">
        <v>75</v>
      </c>
      <c r="G22" s="6"/>
      <c r="H22" s="6"/>
      <c r="I22" s="50" t="str">
        <f>_xlfn.UNICHAR(8358)</f>
        <v>₦</v>
      </c>
      <c r="J22" s="10"/>
    </row>
    <row r="23" spans="1:12" x14ac:dyDescent="0.25">
      <c r="A23" s="14"/>
      <c r="B23" s="16"/>
      <c r="C23" s="16"/>
      <c r="D23" s="49"/>
      <c r="E23" s="9"/>
      <c r="F23" s="9"/>
      <c r="G23" s="9"/>
      <c r="H23" s="9"/>
      <c r="I23" s="9"/>
      <c r="J23" s="10"/>
    </row>
    <row r="24" spans="1:12" x14ac:dyDescent="0.25">
      <c r="A24" s="14"/>
      <c r="B24" s="16"/>
      <c r="C24" s="16"/>
      <c r="D24" s="49"/>
      <c r="E24" s="9"/>
      <c r="F24" s="9"/>
      <c r="G24" s="9"/>
      <c r="H24" s="9"/>
      <c r="I24" s="9"/>
      <c r="J24" s="10"/>
    </row>
    <row r="25" spans="1:12" x14ac:dyDescent="0.25">
      <c r="A25" s="15"/>
      <c r="B25" s="18"/>
      <c r="C25" s="18"/>
      <c r="D25" s="53"/>
      <c r="E25" s="11"/>
      <c r="F25" s="11"/>
      <c r="G25" s="11"/>
      <c r="H25" s="11"/>
      <c r="I25" s="11"/>
      <c r="J25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M15"/>
  <sheetViews>
    <sheetView showGridLines="0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3" sqref="A3"/>
    </sheetView>
  </sheetViews>
  <sheetFormatPr defaultRowHeight="15" x14ac:dyDescent="0.25"/>
  <cols>
    <col min="1" max="2" width="2.5703125" customWidth="1"/>
    <col min="3" max="3" width="11.85546875" customWidth="1"/>
    <col min="4" max="4" width="14.140625" customWidth="1"/>
    <col min="6" max="7" width="2.7109375" customWidth="1"/>
    <col min="8" max="8" width="12.42578125" bestFit="1" customWidth="1"/>
    <col min="9" max="12" width="9.7109375" bestFit="1" customWidth="1"/>
    <col min="13" max="13" width="9.7109375" customWidth="1"/>
  </cols>
  <sheetData>
    <row r="1" spans="1:13" x14ac:dyDescent="0.25">
      <c r="A1" s="36" t="str">
        <f>coyname</f>
        <v xml:space="preserve">ABC BOTTLE WATER </v>
      </c>
      <c r="B1" s="36"/>
      <c r="C1" s="36"/>
      <c r="D1" s="36"/>
      <c r="E1" s="36"/>
      <c r="F1" s="36"/>
      <c r="G1" s="36"/>
      <c r="H1" s="36" t="s">
        <v>77</v>
      </c>
      <c r="I1" s="37">
        <f>'Cover page'!I14</f>
        <v>2025</v>
      </c>
      <c r="J1" s="37">
        <f t="shared" ref="J1:M1" si="0">I1+1</f>
        <v>2026</v>
      </c>
      <c r="K1" s="37">
        <f t="shared" si="0"/>
        <v>2027</v>
      </c>
      <c r="L1" s="37">
        <f t="shared" si="0"/>
        <v>2028</v>
      </c>
      <c r="M1" s="37">
        <f t="shared" si="0"/>
        <v>2029</v>
      </c>
    </row>
    <row r="2" spans="1:13" x14ac:dyDescent="0.25">
      <c r="A2" s="36" t="s">
        <v>76</v>
      </c>
      <c r="B2" s="36"/>
      <c r="C2" s="36"/>
      <c r="D2" s="36"/>
      <c r="E2" s="36"/>
      <c r="F2" s="36"/>
      <c r="G2" s="36"/>
      <c r="H2" s="36" t="s">
        <v>78</v>
      </c>
      <c r="I2" s="38">
        <f>'Cover page'!I16</f>
        <v>45658</v>
      </c>
      <c r="J2" s="38">
        <f t="shared" ref="J2:M2" si="1">EDATE(I2,12)</f>
        <v>46023</v>
      </c>
      <c r="K2" s="38">
        <f t="shared" si="1"/>
        <v>46388</v>
      </c>
      <c r="L2" s="38">
        <f t="shared" si="1"/>
        <v>46753</v>
      </c>
      <c r="M2" s="38">
        <f t="shared" si="1"/>
        <v>47119</v>
      </c>
    </row>
    <row r="3" spans="1:13" x14ac:dyDescent="0.25">
      <c r="A3" s="36" t="s">
        <v>194</v>
      </c>
      <c r="B3" s="36"/>
      <c r="C3" s="36"/>
      <c r="D3" s="36"/>
      <c r="E3" s="36"/>
      <c r="F3" s="36"/>
      <c r="G3" s="36"/>
      <c r="H3" s="36" t="s">
        <v>79</v>
      </c>
      <c r="I3" s="38">
        <f t="shared" ref="I3:M3" si="2">DATE(I1,12,31)</f>
        <v>46022</v>
      </c>
      <c r="J3" s="38">
        <f t="shared" si="2"/>
        <v>46387</v>
      </c>
      <c r="K3" s="38">
        <f t="shared" si="2"/>
        <v>46752</v>
      </c>
      <c r="L3" s="38">
        <f t="shared" si="2"/>
        <v>47118</v>
      </c>
      <c r="M3" s="38">
        <f t="shared" si="2"/>
        <v>47483</v>
      </c>
    </row>
    <row r="4" spans="1:13" x14ac:dyDescent="0.25">
      <c r="A4" s="36"/>
      <c r="B4" s="36"/>
      <c r="C4" s="36"/>
      <c r="D4" s="36"/>
      <c r="E4" s="36"/>
      <c r="F4" s="36"/>
      <c r="G4" s="36"/>
      <c r="H4" s="36" t="s">
        <v>80</v>
      </c>
      <c r="I4" s="55">
        <v>1</v>
      </c>
      <c r="J4" s="55">
        <f>I4+1</f>
        <v>2</v>
      </c>
      <c r="K4" s="55">
        <f t="shared" ref="K4:M4" si="3">J4+1</f>
        <v>3</v>
      </c>
      <c r="L4" s="55">
        <f t="shared" si="3"/>
        <v>4</v>
      </c>
      <c r="M4" s="55">
        <f t="shared" si="3"/>
        <v>5</v>
      </c>
    </row>
    <row r="7" spans="1:13" x14ac:dyDescent="0.25">
      <c r="A7" s="47" t="s">
        <v>83</v>
      </c>
      <c r="B7" s="11"/>
      <c r="C7" s="11"/>
      <c r="D7" s="11"/>
      <c r="E7" s="11"/>
      <c r="F7" s="11"/>
    </row>
    <row r="8" spans="1:13" x14ac:dyDescent="0.25">
      <c r="B8" t="s">
        <v>84</v>
      </c>
      <c r="D8" s="58">
        <v>12345</v>
      </c>
    </row>
    <row r="9" spans="1:13" x14ac:dyDescent="0.25">
      <c r="B9" t="s">
        <v>85</v>
      </c>
      <c r="D9" s="40">
        <v>12345</v>
      </c>
    </row>
    <row r="10" spans="1:13" x14ac:dyDescent="0.25">
      <c r="B10" t="s">
        <v>86</v>
      </c>
      <c r="D10" s="41">
        <v>12345</v>
      </c>
    </row>
    <row r="11" spans="1:13" x14ac:dyDescent="0.25">
      <c r="B11" t="s">
        <v>87</v>
      </c>
      <c r="D11" s="43" t="s">
        <v>88</v>
      </c>
      <c r="H11" t="s">
        <v>35</v>
      </c>
    </row>
    <row r="12" spans="1:13" x14ac:dyDescent="0.25">
      <c r="B12" t="s">
        <v>90</v>
      </c>
      <c r="D12" s="46" t="s">
        <v>91</v>
      </c>
    </row>
    <row r="13" spans="1:13" x14ac:dyDescent="0.25">
      <c r="B13" t="s">
        <v>95</v>
      </c>
      <c r="D13" s="56">
        <v>12345</v>
      </c>
    </row>
    <row r="14" spans="1:13" ht="15.75" thickBot="1" x14ac:dyDescent="0.3">
      <c r="B14" t="s">
        <v>96</v>
      </c>
      <c r="D14" s="57">
        <v>12345</v>
      </c>
    </row>
    <row r="15" spans="1:13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M4"/>
  <sheetViews>
    <sheetView showGridLines="0" workbookViewId="0">
      <pane xSplit="6" ySplit="4" topLeftCell="G5" activePane="bottomRight" state="frozen"/>
      <selection activeCell="K24" sqref="K24"/>
      <selection pane="topRight" activeCell="K24" sqref="K24"/>
      <selection pane="bottomLeft" activeCell="K24" sqref="K24"/>
      <selection pane="bottomRight" activeCell="I1" sqref="I1:N1048576"/>
    </sheetView>
  </sheetViews>
  <sheetFormatPr defaultRowHeight="15" x14ac:dyDescent="0.25"/>
  <cols>
    <col min="1" max="3" width="2.5703125" customWidth="1"/>
    <col min="4" max="4" width="33" customWidth="1"/>
    <col min="6" max="7" width="2.7109375" customWidth="1"/>
    <col min="8" max="8" width="12.42578125" bestFit="1" customWidth="1"/>
    <col min="9" max="14" width="14.140625" customWidth="1"/>
  </cols>
  <sheetData>
    <row r="1" spans="1:13" x14ac:dyDescent="0.25">
      <c r="A1" s="36" t="str">
        <f>coyname</f>
        <v xml:space="preserve">ABC BOTTLE WATER </v>
      </c>
      <c r="B1" s="36"/>
      <c r="C1" s="36"/>
      <c r="D1" s="36"/>
      <c r="E1" s="36"/>
      <c r="F1" s="36"/>
      <c r="G1" s="36"/>
      <c r="H1" s="36" t="s">
        <v>77</v>
      </c>
      <c r="I1" s="37">
        <f>'Cover page'!I14</f>
        <v>2025</v>
      </c>
      <c r="J1" s="37">
        <f t="shared" ref="J1:M1" si="0">I1+1</f>
        <v>2026</v>
      </c>
      <c r="K1" s="37">
        <f t="shared" si="0"/>
        <v>2027</v>
      </c>
      <c r="L1" s="37">
        <f t="shared" si="0"/>
        <v>2028</v>
      </c>
      <c r="M1" s="37">
        <f t="shared" si="0"/>
        <v>2029</v>
      </c>
    </row>
    <row r="2" spans="1:13" x14ac:dyDescent="0.25">
      <c r="A2" s="36" t="s">
        <v>76</v>
      </c>
      <c r="B2" s="36"/>
      <c r="C2" s="36"/>
      <c r="D2" s="36"/>
      <c r="E2" s="36"/>
      <c r="F2" s="36"/>
      <c r="G2" s="36"/>
      <c r="H2" s="36" t="s">
        <v>78</v>
      </c>
      <c r="I2" s="38">
        <f>'Cover page'!I16</f>
        <v>45658</v>
      </c>
      <c r="J2" s="38">
        <f t="shared" ref="J2:M2" si="1">EDATE(I2,12)</f>
        <v>46023</v>
      </c>
      <c r="K2" s="38">
        <f t="shared" si="1"/>
        <v>46388</v>
      </c>
      <c r="L2" s="38">
        <f t="shared" si="1"/>
        <v>46753</v>
      </c>
      <c r="M2" s="38">
        <f t="shared" si="1"/>
        <v>47119</v>
      </c>
    </row>
    <row r="3" spans="1:13" x14ac:dyDescent="0.25">
      <c r="A3" s="36" t="s">
        <v>194</v>
      </c>
      <c r="B3" s="36"/>
      <c r="C3" s="36"/>
      <c r="D3" s="36"/>
      <c r="E3" s="36"/>
      <c r="F3" s="36"/>
      <c r="G3" s="36"/>
      <c r="H3" s="36" t="s">
        <v>79</v>
      </c>
      <c r="I3" s="38">
        <f t="shared" ref="I3:M3" si="2">DATE(I1,12,31)</f>
        <v>46022</v>
      </c>
      <c r="J3" s="38">
        <f t="shared" si="2"/>
        <v>46387</v>
      </c>
      <c r="K3" s="38">
        <f t="shared" si="2"/>
        <v>46752</v>
      </c>
      <c r="L3" s="38">
        <f t="shared" si="2"/>
        <v>47118</v>
      </c>
      <c r="M3" s="38">
        <f t="shared" si="2"/>
        <v>47483</v>
      </c>
    </row>
    <row r="4" spans="1:13" x14ac:dyDescent="0.25">
      <c r="A4" s="36"/>
      <c r="B4" s="36"/>
      <c r="C4" s="36"/>
      <c r="D4" s="36"/>
      <c r="E4" s="36"/>
      <c r="F4" s="36"/>
      <c r="G4" s="36"/>
      <c r="H4" s="36" t="s">
        <v>80</v>
      </c>
      <c r="I4" s="55">
        <v>1</v>
      </c>
      <c r="J4" s="55">
        <f>I4+1</f>
        <v>2</v>
      </c>
      <c r="K4" s="55">
        <f t="shared" ref="K4:M4" si="3">J4+1</f>
        <v>3</v>
      </c>
      <c r="L4" s="55">
        <f t="shared" si="3"/>
        <v>4</v>
      </c>
      <c r="M4" s="55">
        <f t="shared" si="3"/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8"/>
  <sheetViews>
    <sheetView showGridLines="0" zoomScale="90" zoomScaleNormal="90" workbookViewId="0">
      <pane xSplit="6" ySplit="4" topLeftCell="G40" activePane="bottomRight" state="frozen"/>
      <selection pane="topRight" activeCell="G1" sqref="G1"/>
      <selection pane="bottomLeft" activeCell="A5" sqref="A5"/>
      <selection pane="bottomRight" activeCell="I45" sqref="I45:M45"/>
    </sheetView>
  </sheetViews>
  <sheetFormatPr defaultColWidth="0" defaultRowHeight="15" x14ac:dyDescent="0.25"/>
  <cols>
    <col min="1" max="3" width="4.5703125" customWidth="1"/>
    <col min="4" max="4" width="20" customWidth="1"/>
    <col min="5" max="5" width="9.140625" customWidth="1"/>
    <col min="6" max="7" width="2.7109375" customWidth="1"/>
    <col min="8" max="8" width="12.42578125" bestFit="1" customWidth="1"/>
    <col min="9" max="13" width="17" customWidth="1"/>
    <col min="14" max="16" width="0" hidden="1" customWidth="1"/>
    <col min="17" max="16384" width="9.140625" hidden="1"/>
  </cols>
  <sheetData>
    <row r="1" spans="1:13" x14ac:dyDescent="0.25">
      <c r="A1" s="36" t="str">
        <f>coyname</f>
        <v xml:space="preserve">ABC BOTTLE WATER </v>
      </c>
      <c r="B1" s="36"/>
      <c r="C1" s="36"/>
      <c r="D1" s="36"/>
      <c r="E1" s="36"/>
      <c r="F1" s="36"/>
      <c r="G1" s="36"/>
      <c r="H1" s="36" t="s">
        <v>77</v>
      </c>
      <c r="I1" s="37">
        <f>'Cover page'!I14</f>
        <v>2025</v>
      </c>
      <c r="J1" s="37">
        <f t="shared" ref="J1:M1" si="0">I1+1</f>
        <v>2026</v>
      </c>
      <c r="K1" s="37">
        <f t="shared" si="0"/>
        <v>2027</v>
      </c>
      <c r="L1" s="37">
        <f t="shared" si="0"/>
        <v>2028</v>
      </c>
      <c r="M1" s="37">
        <f t="shared" si="0"/>
        <v>2029</v>
      </c>
    </row>
    <row r="2" spans="1:13" x14ac:dyDescent="0.25">
      <c r="A2" s="36" t="s">
        <v>76</v>
      </c>
      <c r="B2" s="36"/>
      <c r="C2" s="36"/>
      <c r="D2" s="36"/>
      <c r="E2" s="36"/>
      <c r="F2" s="36"/>
      <c r="G2" s="36"/>
      <c r="H2" s="36" t="s">
        <v>78</v>
      </c>
      <c r="I2" s="38">
        <f>'Cover page'!I16</f>
        <v>45658</v>
      </c>
      <c r="J2" s="38">
        <f t="shared" ref="J2:M2" si="1">EDATE(I2,12)</f>
        <v>46023</v>
      </c>
      <c r="K2" s="38">
        <f t="shared" si="1"/>
        <v>46388</v>
      </c>
      <c r="L2" s="38">
        <f t="shared" si="1"/>
        <v>46753</v>
      </c>
      <c r="M2" s="38">
        <f t="shared" si="1"/>
        <v>47119</v>
      </c>
    </row>
    <row r="3" spans="1:13" x14ac:dyDescent="0.25">
      <c r="A3" s="36" t="s">
        <v>194</v>
      </c>
      <c r="B3" s="36"/>
      <c r="C3" s="36"/>
      <c r="D3" s="36"/>
      <c r="E3" s="36"/>
      <c r="F3" s="36"/>
      <c r="G3" s="36"/>
      <c r="H3" s="36" t="s">
        <v>79</v>
      </c>
      <c r="I3" s="38">
        <f t="shared" ref="I3:M3" si="2">DATE(I1,12,31)</f>
        <v>46022</v>
      </c>
      <c r="J3" s="38">
        <f t="shared" si="2"/>
        <v>46387</v>
      </c>
      <c r="K3" s="38">
        <f t="shared" si="2"/>
        <v>46752</v>
      </c>
      <c r="L3" s="38">
        <f t="shared" si="2"/>
        <v>47118</v>
      </c>
      <c r="M3" s="38">
        <f t="shared" si="2"/>
        <v>47483</v>
      </c>
    </row>
    <row r="4" spans="1:13" x14ac:dyDescent="0.25">
      <c r="A4" s="36"/>
      <c r="B4" s="36"/>
      <c r="C4" s="36"/>
      <c r="D4" s="36"/>
      <c r="E4" s="36"/>
      <c r="F4" s="36"/>
      <c r="G4" s="36"/>
      <c r="H4" s="36" t="s">
        <v>80</v>
      </c>
      <c r="I4" s="55">
        <v>1</v>
      </c>
      <c r="J4" s="55">
        <f>I4+1</f>
        <v>2</v>
      </c>
      <c r="K4" s="55">
        <f t="shared" ref="K4:M4" si="3">J4+1</f>
        <v>3</v>
      </c>
      <c r="L4" s="55">
        <f t="shared" si="3"/>
        <v>4</v>
      </c>
      <c r="M4" s="55">
        <f t="shared" si="3"/>
        <v>5</v>
      </c>
    </row>
    <row r="5" spans="1:13" x14ac:dyDescent="0.25">
      <c r="A5" t="s">
        <v>0</v>
      </c>
      <c r="C5" t="s">
        <v>1</v>
      </c>
    </row>
    <row r="6" spans="1:13" x14ac:dyDescent="0.25">
      <c r="C6" t="s">
        <v>2</v>
      </c>
    </row>
    <row r="7" spans="1:13" x14ac:dyDescent="0.25">
      <c r="C7" t="s">
        <v>3</v>
      </c>
    </row>
    <row r="9" spans="1:13" x14ac:dyDescent="0.25">
      <c r="A9" s="42" t="s">
        <v>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25">
      <c r="B10" t="s">
        <v>5</v>
      </c>
      <c r="I10" s="101">
        <f>Operation!J13</f>
        <v>54000000</v>
      </c>
      <c r="J10" s="101">
        <f>Operation!K13</f>
        <v>56700000</v>
      </c>
      <c r="K10" s="101">
        <f>Operation!L13</f>
        <v>61321050</v>
      </c>
      <c r="L10" s="101">
        <f>Operation!M13</f>
        <v>63654000.000000007</v>
      </c>
      <c r="M10" s="101">
        <f>Operation!N13</f>
        <v>65563620.000000007</v>
      </c>
    </row>
    <row r="11" spans="1:13" x14ac:dyDescent="0.25">
      <c r="B11" t="s">
        <v>142</v>
      </c>
      <c r="I11" s="101">
        <f>Operation!J22</f>
        <v>34200000</v>
      </c>
      <c r="J11" s="101">
        <f>Operation!K22</f>
        <v>36987300</v>
      </c>
      <c r="K11" s="101">
        <f>Operation!L22</f>
        <v>40001764.950000003</v>
      </c>
      <c r="L11" s="101">
        <f>Operation!M22</f>
        <v>41523626.000000007</v>
      </c>
      <c r="M11" s="101">
        <f>Operation!N22</f>
        <v>42769334.780000009</v>
      </c>
    </row>
    <row r="12" spans="1:13" s="56" customFormat="1" x14ac:dyDescent="0.25">
      <c r="A12" s="100"/>
      <c r="B12" s="100" t="s">
        <v>6</v>
      </c>
      <c r="C12" s="100"/>
      <c r="D12" s="100"/>
      <c r="E12" s="100"/>
      <c r="F12" s="100"/>
      <c r="I12" s="102">
        <f>I10-I11</f>
        <v>19800000</v>
      </c>
      <c r="J12" s="102">
        <f t="shared" ref="J12:M12" si="4">J10-J11</f>
        <v>19712700</v>
      </c>
      <c r="K12" s="102">
        <f t="shared" si="4"/>
        <v>21319285.049999997</v>
      </c>
      <c r="L12" s="102">
        <f t="shared" si="4"/>
        <v>22130374</v>
      </c>
      <c r="M12" s="102">
        <f t="shared" si="4"/>
        <v>22794285.219999999</v>
      </c>
    </row>
    <row r="13" spans="1:13" x14ac:dyDescent="0.25">
      <c r="A13" s="80"/>
      <c r="B13" s="80"/>
      <c r="C13" s="80"/>
      <c r="D13" s="80"/>
      <c r="E13" s="80"/>
      <c r="F13" s="80"/>
      <c r="I13" s="103"/>
      <c r="J13" s="103"/>
      <c r="K13" s="103"/>
      <c r="L13" s="103"/>
      <c r="M13" s="103"/>
    </row>
    <row r="14" spans="1:13" x14ac:dyDescent="0.25">
      <c r="A14" s="80"/>
      <c r="B14" s="80" t="s">
        <v>7</v>
      </c>
      <c r="C14" s="80"/>
      <c r="D14" s="80"/>
      <c r="E14" s="80"/>
      <c r="F14" s="80"/>
      <c r="I14" s="101">
        <f>Operation!J38</f>
        <v>13386000</v>
      </c>
      <c r="J14" s="101">
        <f>Operation!K38</f>
        <v>13386000</v>
      </c>
      <c r="K14" s="101">
        <f>Operation!L38</f>
        <v>13386000</v>
      </c>
      <c r="L14" s="101">
        <f>Operation!M38</f>
        <v>13386000</v>
      </c>
      <c r="M14" s="101">
        <f>Operation!N38</f>
        <v>13386000</v>
      </c>
    </row>
    <row r="15" spans="1:13" s="56" customFormat="1" x14ac:dyDescent="0.25">
      <c r="A15" s="100"/>
      <c r="B15" s="100" t="s">
        <v>8</v>
      </c>
      <c r="C15" s="100"/>
      <c r="D15" s="100"/>
      <c r="E15" s="100"/>
      <c r="F15" s="100"/>
      <c r="H15" s="56" t="s">
        <v>35</v>
      </c>
      <c r="I15" s="102">
        <f>I12-I14</f>
        <v>6414000</v>
      </c>
      <c r="J15" s="102">
        <f t="shared" ref="J15:M15" si="5">J12-J14</f>
        <v>6326700</v>
      </c>
      <c r="K15" s="102">
        <f t="shared" si="5"/>
        <v>7933285.049999997</v>
      </c>
      <c r="L15" s="102">
        <f t="shared" si="5"/>
        <v>8744374</v>
      </c>
      <c r="M15" s="102">
        <f t="shared" si="5"/>
        <v>9408285.2199999988</v>
      </c>
    </row>
    <row r="16" spans="1:13" x14ac:dyDescent="0.25">
      <c r="A16" s="80"/>
      <c r="B16" s="80"/>
      <c r="C16" s="80"/>
      <c r="D16" s="80"/>
      <c r="E16" s="80"/>
      <c r="F16" s="80"/>
      <c r="I16" s="103"/>
      <c r="J16" s="103"/>
      <c r="K16" s="103"/>
      <c r="L16" s="103"/>
      <c r="M16" s="103"/>
    </row>
    <row r="17" spans="1:13" x14ac:dyDescent="0.25">
      <c r="A17" s="80"/>
      <c r="B17" s="80" t="s">
        <v>9</v>
      </c>
      <c r="C17" s="80"/>
      <c r="D17" s="80"/>
      <c r="E17" s="80"/>
      <c r="F17" s="80"/>
      <c r="I17" s="101">
        <f>Operation!J64</f>
        <v>2600000</v>
      </c>
      <c r="J17" s="101">
        <f>Operation!K64</f>
        <v>2600000</v>
      </c>
      <c r="K17" s="101">
        <f>Operation!L64</f>
        <v>2600000</v>
      </c>
      <c r="L17" s="101">
        <f>Operation!M64</f>
        <v>2600000</v>
      </c>
      <c r="M17" s="101">
        <f>Operation!N64</f>
        <v>2600000</v>
      </c>
    </row>
    <row r="18" spans="1:13" s="56" customFormat="1" x14ac:dyDescent="0.25">
      <c r="A18" s="100"/>
      <c r="B18" s="100" t="s">
        <v>10</v>
      </c>
      <c r="C18" s="100"/>
      <c r="D18" s="100"/>
      <c r="E18" s="100"/>
      <c r="F18" s="100"/>
      <c r="I18" s="102">
        <f>I15-I17</f>
        <v>3814000</v>
      </c>
      <c r="J18" s="102">
        <f t="shared" ref="J18:M18" si="6">J15-J17</f>
        <v>3726700</v>
      </c>
      <c r="K18" s="102">
        <f t="shared" si="6"/>
        <v>5333285.049999997</v>
      </c>
      <c r="L18" s="102">
        <f t="shared" si="6"/>
        <v>6144374</v>
      </c>
      <c r="M18" s="102">
        <f t="shared" si="6"/>
        <v>6808285.2199999988</v>
      </c>
    </row>
    <row r="19" spans="1:13" x14ac:dyDescent="0.25">
      <c r="A19" s="80"/>
      <c r="B19" s="80" t="s">
        <v>11</v>
      </c>
      <c r="C19" s="80"/>
      <c r="D19" s="80"/>
      <c r="E19" s="80"/>
      <c r="F19" s="80"/>
      <c r="I19" s="101">
        <f>I97</f>
        <v>1600000</v>
      </c>
      <c r="J19" s="101">
        <f t="shared" ref="J19:M19" si="7">J97</f>
        <v>1280000</v>
      </c>
      <c r="K19" s="101">
        <f t="shared" si="7"/>
        <v>960000</v>
      </c>
      <c r="L19" s="101">
        <f t="shared" si="7"/>
        <v>640000</v>
      </c>
      <c r="M19" s="101">
        <f t="shared" si="7"/>
        <v>320000</v>
      </c>
    </row>
    <row r="20" spans="1:13" x14ac:dyDescent="0.25">
      <c r="A20" s="80"/>
      <c r="B20" s="80"/>
      <c r="C20" s="80"/>
      <c r="D20" s="80"/>
      <c r="E20" s="80"/>
      <c r="F20" s="80"/>
      <c r="I20" s="103"/>
      <c r="J20" s="103"/>
      <c r="K20" s="103"/>
      <c r="L20" s="103"/>
      <c r="M20" s="103"/>
    </row>
    <row r="21" spans="1:13" s="56" customFormat="1" x14ac:dyDescent="0.25">
      <c r="A21" s="100"/>
      <c r="B21" s="100" t="s">
        <v>12</v>
      </c>
      <c r="C21" s="100"/>
      <c r="D21" s="100"/>
      <c r="E21" s="100"/>
      <c r="F21" s="100"/>
      <c r="I21" s="102">
        <f>I18-I19</f>
        <v>2214000</v>
      </c>
      <c r="J21" s="102">
        <f t="shared" ref="J21:M21" si="8">J18-J19</f>
        <v>2446700</v>
      </c>
      <c r="K21" s="102">
        <f t="shared" si="8"/>
        <v>4373285.049999997</v>
      </c>
      <c r="L21" s="102">
        <f t="shared" si="8"/>
        <v>5504374</v>
      </c>
      <c r="M21" s="102">
        <f t="shared" si="8"/>
        <v>6488285.2199999988</v>
      </c>
    </row>
    <row r="22" spans="1:13" x14ac:dyDescent="0.25">
      <c r="A22" s="80"/>
      <c r="B22" s="80" t="s">
        <v>13</v>
      </c>
      <c r="C22" s="80"/>
      <c r="D22" s="80"/>
      <c r="E22" s="80"/>
      <c r="F22" s="80"/>
      <c r="I22" s="101">
        <f>Operation!J77</f>
        <v>708480</v>
      </c>
      <c r="J22" s="101">
        <f>Operation!K77</f>
        <v>782944</v>
      </c>
      <c r="K22" s="101">
        <f>Operation!L77</f>
        <v>1399451.2159999991</v>
      </c>
      <c r="L22" s="101">
        <f>Operation!M77</f>
        <v>1761399.68</v>
      </c>
      <c r="M22" s="101">
        <f>Operation!N77</f>
        <v>2076251.2703999996</v>
      </c>
    </row>
    <row r="23" spans="1:13" s="57" customFormat="1" ht="15.75" thickBot="1" x14ac:dyDescent="0.3">
      <c r="A23" s="99"/>
      <c r="B23" s="99" t="s">
        <v>14</v>
      </c>
      <c r="C23" s="99"/>
      <c r="D23" s="99"/>
      <c r="E23" s="99"/>
      <c r="F23" s="99"/>
      <c r="I23" s="104">
        <f>I21-I22</f>
        <v>1505520</v>
      </c>
      <c r="J23" s="104">
        <f t="shared" ref="J23:M23" si="9">J21-J22</f>
        <v>1663756</v>
      </c>
      <c r="K23" s="104">
        <f t="shared" si="9"/>
        <v>2973833.8339999979</v>
      </c>
      <c r="L23" s="104">
        <f t="shared" si="9"/>
        <v>3742974.3200000003</v>
      </c>
      <c r="M23" s="104">
        <f t="shared" si="9"/>
        <v>4412033.949599999</v>
      </c>
    </row>
    <row r="24" spans="1:13" ht="15.75" thickTop="1" x14ac:dyDescent="0.25">
      <c r="I24" s="7"/>
      <c r="J24" s="7"/>
      <c r="K24" s="7"/>
    </row>
    <row r="25" spans="1:13" s="42" customFormat="1" x14ac:dyDescent="0.25">
      <c r="B25" s="42" t="s">
        <v>89</v>
      </c>
      <c r="I25" s="44"/>
      <c r="J25" s="44"/>
      <c r="K25" s="44"/>
    </row>
    <row r="26" spans="1:13" x14ac:dyDescent="0.25">
      <c r="B26" t="s">
        <v>15</v>
      </c>
      <c r="I26" s="101">
        <v>0</v>
      </c>
      <c r="J26" s="101">
        <f>I29</f>
        <v>1279692</v>
      </c>
      <c r="K26" s="101">
        <f t="shared" ref="K26:M26" si="10">J29</f>
        <v>2693884.6</v>
      </c>
      <c r="L26" s="101">
        <f t="shared" si="10"/>
        <v>5221643.3588999985</v>
      </c>
      <c r="M26" s="101">
        <f t="shared" si="10"/>
        <v>8403171.5308999997</v>
      </c>
    </row>
    <row r="27" spans="1:13" x14ac:dyDescent="0.25">
      <c r="B27" t="s">
        <v>16</v>
      </c>
      <c r="I27" s="101">
        <f>I23</f>
        <v>1505520</v>
      </c>
      <c r="J27" s="101">
        <f t="shared" ref="J27:M27" si="11">J23</f>
        <v>1663756</v>
      </c>
      <c r="K27" s="101">
        <f t="shared" si="11"/>
        <v>2973833.8339999979</v>
      </c>
      <c r="L27" s="101">
        <f t="shared" si="11"/>
        <v>3742974.3200000003</v>
      </c>
      <c r="M27" s="101">
        <f t="shared" si="11"/>
        <v>4412033.949599999</v>
      </c>
    </row>
    <row r="28" spans="1:13" x14ac:dyDescent="0.25">
      <c r="B28" t="s">
        <v>17</v>
      </c>
      <c r="I28" s="101">
        <f>Operation!J81</f>
        <v>225828</v>
      </c>
      <c r="J28" s="101">
        <f>Operation!K81</f>
        <v>249563.4</v>
      </c>
      <c r="K28" s="101">
        <f>Operation!L81</f>
        <v>446075.07509999967</v>
      </c>
      <c r="L28" s="101">
        <f>Operation!M81</f>
        <v>561446.14800000004</v>
      </c>
      <c r="M28" s="101">
        <f>Operation!N81</f>
        <v>661805.0924399998</v>
      </c>
    </row>
    <row r="29" spans="1:13" s="57" customFormat="1" ht="15.75" thickBot="1" x14ac:dyDescent="0.3">
      <c r="B29" s="57" t="s">
        <v>18</v>
      </c>
      <c r="I29" s="104">
        <f>I26+I27-I28</f>
        <v>1279692</v>
      </c>
      <c r="J29" s="104">
        <f t="shared" ref="J29:M29" si="12">J26+J27-J28</f>
        <v>2693884.6</v>
      </c>
      <c r="K29" s="104">
        <f t="shared" si="12"/>
        <v>5221643.3588999985</v>
      </c>
      <c r="L29" s="104">
        <f t="shared" si="12"/>
        <v>8403171.5308999997</v>
      </c>
      <c r="M29" s="104">
        <f t="shared" si="12"/>
        <v>12153400.388059998</v>
      </c>
    </row>
    <row r="30" spans="1:13" ht="15.75" thickTop="1" x14ac:dyDescent="0.25">
      <c r="I30" s="103"/>
      <c r="J30" s="103"/>
      <c r="K30" s="103"/>
      <c r="L30" s="103"/>
      <c r="M30" s="103"/>
    </row>
    <row r="31" spans="1:13" x14ac:dyDescent="0.25">
      <c r="I31" s="103"/>
      <c r="J31" s="103"/>
      <c r="K31" s="103"/>
      <c r="L31" s="103"/>
      <c r="M31" s="103"/>
    </row>
    <row r="32" spans="1:13" x14ac:dyDescent="0.25">
      <c r="I32" s="103"/>
      <c r="J32" s="103"/>
      <c r="K32" s="103"/>
      <c r="L32" s="103"/>
      <c r="M32" s="103"/>
    </row>
    <row r="33" spans="1:13" s="42" customFormat="1" x14ac:dyDescent="0.25">
      <c r="A33" s="42" t="s">
        <v>41</v>
      </c>
      <c r="I33" s="106"/>
      <c r="J33" s="106"/>
      <c r="K33" s="106"/>
      <c r="L33" s="106"/>
      <c r="M33" s="106"/>
    </row>
    <row r="34" spans="1:13" x14ac:dyDescent="0.25">
      <c r="A34" s="45"/>
      <c r="B34" s="45" t="s">
        <v>22</v>
      </c>
      <c r="C34" s="45"/>
      <c r="D34" s="45"/>
      <c r="E34" s="45"/>
      <c r="F34" s="45"/>
      <c r="I34" s="103"/>
      <c r="J34" s="103"/>
      <c r="K34" s="103"/>
      <c r="L34" s="103"/>
      <c r="M34" s="103"/>
    </row>
    <row r="35" spans="1:13" x14ac:dyDescent="0.25">
      <c r="B35" t="s">
        <v>20</v>
      </c>
      <c r="I35" s="101">
        <f>Operation!J65</f>
        <v>10400000</v>
      </c>
      <c r="J35" s="101">
        <f>Operation!K65</f>
        <v>7800000</v>
      </c>
      <c r="K35" s="101">
        <f>Operation!L65</f>
        <v>5200000</v>
      </c>
      <c r="L35" s="101">
        <f>Operation!M65</f>
        <v>2600000</v>
      </c>
      <c r="M35" s="101">
        <f>Operation!N65</f>
        <v>0</v>
      </c>
    </row>
    <row r="36" spans="1:13" s="56" customFormat="1" x14ac:dyDescent="0.25">
      <c r="B36" s="56" t="s">
        <v>169</v>
      </c>
      <c r="I36" s="102">
        <f>SUM(I35)</f>
        <v>10400000</v>
      </c>
      <c r="J36" s="102">
        <f t="shared" ref="J36:M36" si="13">SUM(J35)</f>
        <v>7800000</v>
      </c>
      <c r="K36" s="102">
        <f t="shared" si="13"/>
        <v>5200000</v>
      </c>
      <c r="L36" s="102">
        <f t="shared" si="13"/>
        <v>2600000</v>
      </c>
      <c r="M36" s="102">
        <f t="shared" si="13"/>
        <v>0</v>
      </c>
    </row>
    <row r="37" spans="1:13" x14ac:dyDescent="0.25">
      <c r="A37" s="105"/>
      <c r="B37" s="105"/>
      <c r="C37" s="105"/>
      <c r="D37" s="105"/>
      <c r="E37" s="105"/>
      <c r="F37" s="105"/>
      <c r="G37" s="105"/>
      <c r="H37" s="105"/>
      <c r="I37" s="107"/>
      <c r="J37" s="107"/>
      <c r="K37" s="107"/>
      <c r="L37" s="107"/>
      <c r="M37" s="107"/>
    </row>
    <row r="38" spans="1:13" x14ac:dyDescent="0.25">
      <c r="B38" t="s">
        <v>170</v>
      </c>
      <c r="I38" s="101">
        <f>Operation!J68</f>
        <v>3698630.1369863013</v>
      </c>
      <c r="J38" s="101">
        <f>Operation!K68</f>
        <v>3883561.6438356163</v>
      </c>
      <c r="K38" s="101">
        <f>Operation!L68</f>
        <v>4200071.9178082189</v>
      </c>
      <c r="L38" s="101">
        <f>Operation!M68</f>
        <v>4359863.01369863</v>
      </c>
      <c r="M38" s="101">
        <f>Operation!N68</f>
        <v>4490658.9041095898</v>
      </c>
    </row>
    <row r="39" spans="1:13" x14ac:dyDescent="0.25">
      <c r="B39" t="s">
        <v>19</v>
      </c>
      <c r="I39" s="101">
        <f>Operation!J70</f>
        <v>2810958.9041095888</v>
      </c>
      <c r="J39" s="101">
        <f>Operation!K70</f>
        <v>3040052.0547945206</v>
      </c>
      <c r="K39" s="101">
        <f>Operation!L70</f>
        <v>3287816.2972602742</v>
      </c>
      <c r="L39" s="101">
        <f>Operation!M70</f>
        <v>3412900.767123288</v>
      </c>
      <c r="M39" s="101">
        <f>Operation!N70</f>
        <v>3515287.7901369869</v>
      </c>
    </row>
    <row r="40" spans="1:13" x14ac:dyDescent="0.25">
      <c r="B40" t="s">
        <v>21</v>
      </c>
      <c r="I40" s="101">
        <f>I75</f>
        <v>1705445.4246575348</v>
      </c>
      <c r="J40" s="101">
        <f t="shared" ref="J40:M40" si="14">J75</f>
        <v>4026343.7780821924</v>
      </c>
      <c r="K40" s="101">
        <f t="shared" si="14"/>
        <v>7336697.9599958891</v>
      </c>
      <c r="L40" s="101">
        <f t="shared" si="14"/>
        <v>11408468.824050684</v>
      </c>
      <c r="M40" s="101">
        <f t="shared" si="14"/>
        <v>16068856.600005202</v>
      </c>
    </row>
    <row r="41" spans="1:13" s="57" customFormat="1" ht="15.75" thickBot="1" x14ac:dyDescent="0.3">
      <c r="A41" s="99"/>
      <c r="B41" s="99" t="s">
        <v>55</v>
      </c>
      <c r="C41" s="99"/>
      <c r="D41" s="99"/>
      <c r="E41" s="99"/>
      <c r="F41" s="99"/>
      <c r="I41" s="104">
        <f>SUM(I36:I40)</f>
        <v>18615034.465753425</v>
      </c>
      <c r="J41" s="104">
        <f t="shared" ref="J41:M41" si="15">SUM(J36:J40)</f>
        <v>18749957.476712327</v>
      </c>
      <c r="K41" s="104">
        <f t="shared" si="15"/>
        <v>20024586.175064381</v>
      </c>
      <c r="L41" s="104">
        <f t="shared" si="15"/>
        <v>21781232.604872599</v>
      </c>
      <c r="M41" s="104">
        <f t="shared" si="15"/>
        <v>24074803.294251777</v>
      </c>
    </row>
    <row r="42" spans="1:13" ht="15.75" thickTop="1" x14ac:dyDescent="0.25">
      <c r="I42" s="103"/>
      <c r="J42" s="103"/>
      <c r="K42" s="103"/>
      <c r="L42" s="103"/>
      <c r="M42" s="103"/>
    </row>
    <row r="43" spans="1:13" x14ac:dyDescent="0.25">
      <c r="A43" s="45"/>
      <c r="B43" s="45" t="s">
        <v>25</v>
      </c>
      <c r="C43" s="45"/>
      <c r="D43" s="45"/>
      <c r="E43" s="45"/>
      <c r="F43" s="45"/>
      <c r="I43" s="103"/>
      <c r="J43" s="103"/>
      <c r="K43" s="103"/>
      <c r="L43" s="103"/>
      <c r="M43" s="103"/>
    </row>
    <row r="44" spans="1:13" s="41" customFormat="1" x14ac:dyDescent="0.25">
      <c r="A44"/>
      <c r="B44" t="s">
        <v>23</v>
      </c>
      <c r="C44"/>
      <c r="D44"/>
      <c r="E44"/>
      <c r="F44"/>
      <c r="G44"/>
      <c r="H44"/>
      <c r="I44" s="101">
        <f>Operation!J72</f>
        <v>3935342.4657534244</v>
      </c>
      <c r="J44" s="101">
        <f>Operation!K72</f>
        <v>4256072.8767123288</v>
      </c>
      <c r="K44" s="101">
        <f>Operation!L72</f>
        <v>4602942.8161643837</v>
      </c>
      <c r="L44" s="101">
        <f>Operation!M72</f>
        <v>4778061.0739726033</v>
      </c>
      <c r="M44" s="101">
        <f>Operation!N72</f>
        <v>4921402.9061917821</v>
      </c>
    </row>
    <row r="45" spans="1:13" s="41" customFormat="1" x14ac:dyDescent="0.25">
      <c r="A45"/>
      <c r="B45" t="s">
        <v>173</v>
      </c>
      <c r="C45"/>
      <c r="D45"/>
      <c r="E45"/>
      <c r="F45"/>
      <c r="G45"/>
      <c r="H45"/>
      <c r="I45" s="101">
        <v>0</v>
      </c>
      <c r="J45" s="101">
        <v>0</v>
      </c>
      <c r="K45" s="101">
        <v>0</v>
      </c>
      <c r="L45" s="101">
        <v>0</v>
      </c>
      <c r="M45" s="101">
        <v>0</v>
      </c>
    </row>
    <row r="46" spans="1:13" s="41" customFormat="1" x14ac:dyDescent="0.25">
      <c r="A46"/>
      <c r="B46" t="s">
        <v>171</v>
      </c>
      <c r="C46"/>
      <c r="D46"/>
      <c r="E46"/>
      <c r="F46"/>
      <c r="G46"/>
      <c r="H46"/>
      <c r="I46" s="101">
        <f>Operation!J50</f>
        <v>6400000</v>
      </c>
      <c r="J46" s="101">
        <f>Operation!K50</f>
        <v>4800000</v>
      </c>
      <c r="K46" s="101">
        <f>Operation!L50</f>
        <v>3200000</v>
      </c>
      <c r="L46" s="101">
        <f>Operation!M50</f>
        <v>1600000</v>
      </c>
      <c r="M46" s="101">
        <f>Operation!N50</f>
        <v>0</v>
      </c>
    </row>
    <row r="47" spans="1:13" s="56" customFormat="1" x14ac:dyDescent="0.25">
      <c r="B47" s="56" t="s">
        <v>172</v>
      </c>
      <c r="I47" s="102">
        <f>SUM(I44:I46)</f>
        <v>10335342.465753425</v>
      </c>
      <c r="J47" s="102">
        <f t="shared" ref="J47:M47" si="16">SUM(J44:J46)</f>
        <v>9056072.8767123297</v>
      </c>
      <c r="K47" s="102">
        <f t="shared" si="16"/>
        <v>7802942.8161643837</v>
      </c>
      <c r="L47" s="102">
        <f t="shared" si="16"/>
        <v>6378061.0739726033</v>
      </c>
      <c r="M47" s="102">
        <f t="shared" si="16"/>
        <v>4921402.9061917821</v>
      </c>
    </row>
    <row r="48" spans="1:13" x14ac:dyDescent="0.25">
      <c r="I48" s="103"/>
      <c r="J48" s="103"/>
      <c r="K48" s="103"/>
      <c r="L48" s="103"/>
      <c r="M48" s="103"/>
    </row>
    <row r="49" spans="1:13" x14ac:dyDescent="0.25">
      <c r="B49" t="s">
        <v>89</v>
      </c>
      <c r="I49" s="101">
        <f>I29</f>
        <v>1279692</v>
      </c>
      <c r="J49" s="101">
        <f t="shared" ref="J49:M49" si="17">J29</f>
        <v>2693884.6</v>
      </c>
      <c r="K49" s="101">
        <f t="shared" si="17"/>
        <v>5221643.3588999985</v>
      </c>
      <c r="L49" s="101">
        <f t="shared" si="17"/>
        <v>8403171.5308999997</v>
      </c>
      <c r="M49" s="101">
        <f t="shared" si="17"/>
        <v>12153400.388059998</v>
      </c>
    </row>
    <row r="50" spans="1:13" x14ac:dyDescent="0.25">
      <c r="B50" t="s">
        <v>24</v>
      </c>
      <c r="I50" s="101">
        <f>I67</f>
        <v>7000000</v>
      </c>
      <c r="J50" s="101">
        <f>I50</f>
        <v>7000000</v>
      </c>
      <c r="K50" s="101">
        <f t="shared" ref="K50:M50" si="18">J50</f>
        <v>7000000</v>
      </c>
      <c r="L50" s="101">
        <f t="shared" si="18"/>
        <v>7000000</v>
      </c>
      <c r="M50" s="101">
        <f t="shared" si="18"/>
        <v>7000000</v>
      </c>
    </row>
    <row r="51" spans="1:13" s="57" customFormat="1" ht="15.75" thickBot="1" x14ac:dyDescent="0.3">
      <c r="B51" s="57" t="s">
        <v>56</v>
      </c>
      <c r="I51" s="104">
        <f>SUM(I47:I50)</f>
        <v>18615034.465753425</v>
      </c>
      <c r="J51" s="104">
        <f t="shared" ref="J51:M51" si="19">SUM(J47:J50)</f>
        <v>18749957.476712331</v>
      </c>
      <c r="K51" s="104">
        <f t="shared" si="19"/>
        <v>20024586.175064381</v>
      </c>
      <c r="L51" s="104">
        <f t="shared" si="19"/>
        <v>21781232.604872603</v>
      </c>
      <c r="M51" s="104">
        <f t="shared" si="19"/>
        <v>24074803.294251781</v>
      </c>
    </row>
    <row r="52" spans="1:13" ht="15.75" thickTop="1" x14ac:dyDescent="0.25">
      <c r="B52" s="4" t="s">
        <v>57</v>
      </c>
      <c r="I52" s="102">
        <f>I41-I51</f>
        <v>0</v>
      </c>
      <c r="J52" s="102">
        <f t="shared" ref="J52:M52" si="20">J41-J51</f>
        <v>0</v>
      </c>
      <c r="K52" s="102">
        <f t="shared" si="20"/>
        <v>0</v>
      </c>
      <c r="L52" s="102">
        <f t="shared" si="20"/>
        <v>0</v>
      </c>
      <c r="M52" s="102">
        <f t="shared" si="20"/>
        <v>0</v>
      </c>
    </row>
    <row r="53" spans="1:13" x14ac:dyDescent="0.25">
      <c r="H53" t="s">
        <v>35</v>
      </c>
      <c r="I53" s="7"/>
      <c r="J53" s="7"/>
      <c r="K53" s="7"/>
    </row>
    <row r="54" spans="1:13" s="42" customFormat="1" x14ac:dyDescent="0.25">
      <c r="A54" s="42" t="s">
        <v>26</v>
      </c>
      <c r="I54" s="44"/>
      <c r="J54" s="44"/>
      <c r="K54" s="44"/>
    </row>
    <row r="55" spans="1:13" x14ac:dyDescent="0.25">
      <c r="B55" t="s">
        <v>42</v>
      </c>
      <c r="I55" s="41">
        <f>I23</f>
        <v>1505520</v>
      </c>
      <c r="J55" s="41">
        <f t="shared" ref="J55:M55" si="21">J23</f>
        <v>1663756</v>
      </c>
      <c r="K55" s="41">
        <f t="shared" si="21"/>
        <v>2973833.8339999979</v>
      </c>
      <c r="L55" s="41">
        <f t="shared" si="21"/>
        <v>3742974.3200000003</v>
      </c>
      <c r="M55" s="41">
        <f t="shared" si="21"/>
        <v>4412033.949599999</v>
      </c>
    </row>
    <row r="56" spans="1:13" x14ac:dyDescent="0.25">
      <c r="B56" t="s">
        <v>43</v>
      </c>
      <c r="I56" s="41">
        <f>I17</f>
        <v>2600000</v>
      </c>
      <c r="J56" s="41">
        <f t="shared" ref="J56:M56" si="22">J17</f>
        <v>2600000</v>
      </c>
      <c r="K56" s="41">
        <f t="shared" si="22"/>
        <v>2600000</v>
      </c>
      <c r="L56" s="41">
        <f t="shared" si="22"/>
        <v>2600000</v>
      </c>
      <c r="M56" s="41">
        <f t="shared" si="22"/>
        <v>2600000</v>
      </c>
    </row>
    <row r="57" spans="1:13" x14ac:dyDescent="0.25">
      <c r="B57" t="s">
        <v>27</v>
      </c>
      <c r="I57" s="41">
        <f>Operation!J69</f>
        <v>-3698630.1369863013</v>
      </c>
      <c r="J57" s="41">
        <f>Operation!K69</f>
        <v>-184931.50684931502</v>
      </c>
      <c r="K57" s="41">
        <f>Operation!L69</f>
        <v>-316510.27397260256</v>
      </c>
      <c r="L57" s="41">
        <f>Operation!M69</f>
        <v>-159791.09589041118</v>
      </c>
      <c r="M57" s="41">
        <f>Operation!N69</f>
        <v>-130795.89041095972</v>
      </c>
    </row>
    <row r="58" spans="1:13" x14ac:dyDescent="0.25">
      <c r="B58" t="s">
        <v>28</v>
      </c>
      <c r="I58" s="41">
        <f>Operation!J71</f>
        <v>-2810958.9041095888</v>
      </c>
      <c r="J58" s="41">
        <f>Operation!K71</f>
        <v>-229093.15068493178</v>
      </c>
      <c r="K58" s="41">
        <f>Operation!L71</f>
        <v>-247764.24246575357</v>
      </c>
      <c r="L58" s="41">
        <f>Operation!M71</f>
        <v>-125084.46986301383</v>
      </c>
      <c r="M58" s="41">
        <f>Operation!N71</f>
        <v>-102387.02301369887</v>
      </c>
    </row>
    <row r="59" spans="1:13" x14ac:dyDescent="0.25">
      <c r="B59" t="s">
        <v>29</v>
      </c>
      <c r="I59" s="41">
        <f>Operation!J73</f>
        <v>3935342.4657534244</v>
      </c>
      <c r="J59" s="41">
        <f>Operation!K73</f>
        <v>320730.41095890431</v>
      </c>
      <c r="K59" s="41">
        <f>Operation!L73</f>
        <v>346869.93945205491</v>
      </c>
      <c r="L59" s="41">
        <f>Operation!M73</f>
        <v>175118.25780821964</v>
      </c>
      <c r="M59" s="41">
        <f>Operation!N73</f>
        <v>143341.83221917879</v>
      </c>
    </row>
    <row r="60" spans="1:13" x14ac:dyDescent="0.25">
      <c r="B60" t="s">
        <v>30</v>
      </c>
      <c r="I60" s="101">
        <v>0</v>
      </c>
      <c r="J60" s="101">
        <v>0</v>
      </c>
      <c r="K60" s="101">
        <v>0</v>
      </c>
      <c r="L60" s="101">
        <v>0</v>
      </c>
      <c r="M60" s="101">
        <v>0</v>
      </c>
    </row>
    <row r="61" spans="1:13" x14ac:dyDescent="0.25">
      <c r="B61" t="s">
        <v>31</v>
      </c>
      <c r="I61" s="101">
        <v>0</v>
      </c>
      <c r="J61" s="101">
        <v>0</v>
      </c>
      <c r="K61" s="101">
        <v>0</v>
      </c>
      <c r="L61" s="101">
        <v>0</v>
      </c>
      <c r="M61" s="101">
        <v>0</v>
      </c>
    </row>
    <row r="62" spans="1:13" s="56" customFormat="1" x14ac:dyDescent="0.25">
      <c r="B62" s="56" t="s">
        <v>44</v>
      </c>
      <c r="I62" s="102">
        <f>SUM(I55:I61)</f>
        <v>1531273.4246575343</v>
      </c>
      <c r="J62" s="102">
        <f t="shared" ref="J62:M62" si="23">SUM(J55:J61)</f>
        <v>4170461.7534246575</v>
      </c>
      <c r="K62" s="102">
        <f t="shared" si="23"/>
        <v>5356429.2570136962</v>
      </c>
      <c r="L62" s="102">
        <f t="shared" si="23"/>
        <v>6233217.0120547954</v>
      </c>
      <c r="M62" s="102">
        <f t="shared" si="23"/>
        <v>6922192.8683945192</v>
      </c>
    </row>
    <row r="63" spans="1:13" x14ac:dyDescent="0.25">
      <c r="I63" s="7"/>
      <c r="J63" s="7"/>
      <c r="K63" s="7"/>
    </row>
    <row r="64" spans="1:13" x14ac:dyDescent="0.25">
      <c r="B64" t="s">
        <v>32</v>
      </c>
      <c r="I64" s="41">
        <f>-Operation!J63</f>
        <v>-13000000</v>
      </c>
      <c r="J64" s="101">
        <v>0</v>
      </c>
      <c r="K64" s="101">
        <v>0</v>
      </c>
      <c r="L64" s="101">
        <v>0</v>
      </c>
      <c r="M64" s="101">
        <v>0</v>
      </c>
    </row>
    <row r="65" spans="2:13" s="56" customFormat="1" x14ac:dyDescent="0.25">
      <c r="B65" s="56" t="s">
        <v>45</v>
      </c>
      <c r="I65" s="102">
        <f>SUM(I64)</f>
        <v>-13000000</v>
      </c>
      <c r="J65" s="102">
        <f t="shared" ref="J65:M65" si="24">SUM(J64)</f>
        <v>0</v>
      </c>
      <c r="K65" s="102">
        <f t="shared" si="24"/>
        <v>0</v>
      </c>
      <c r="L65" s="102">
        <f t="shared" si="24"/>
        <v>0</v>
      </c>
      <c r="M65" s="102">
        <f t="shared" si="24"/>
        <v>0</v>
      </c>
    </row>
    <row r="66" spans="2:13" x14ac:dyDescent="0.25">
      <c r="I66" s="7"/>
      <c r="J66" s="7"/>
      <c r="K66" s="7"/>
    </row>
    <row r="67" spans="2:13" x14ac:dyDescent="0.25">
      <c r="B67" t="s">
        <v>191</v>
      </c>
      <c r="H67" t="s">
        <v>35</v>
      </c>
      <c r="I67" s="41">
        <f>Operation!H42+Operation!H43</f>
        <v>7000000</v>
      </c>
      <c r="J67" s="101">
        <v>0</v>
      </c>
      <c r="K67" s="101">
        <v>0</v>
      </c>
      <c r="L67" s="101">
        <v>0</v>
      </c>
      <c r="M67" s="101">
        <v>0</v>
      </c>
    </row>
    <row r="68" spans="2:13" x14ac:dyDescent="0.25">
      <c r="B68" t="s">
        <v>192</v>
      </c>
      <c r="I68" s="41">
        <f>Operation!H41</f>
        <v>8000000</v>
      </c>
      <c r="J68" s="101">
        <v>0</v>
      </c>
      <c r="K68" s="101">
        <v>0</v>
      </c>
      <c r="L68" s="101">
        <v>0</v>
      </c>
      <c r="M68" s="101">
        <v>0</v>
      </c>
    </row>
    <row r="69" spans="2:13" x14ac:dyDescent="0.25">
      <c r="B69" t="s">
        <v>33</v>
      </c>
      <c r="I69" s="41">
        <f>-I28</f>
        <v>-225828</v>
      </c>
      <c r="J69" s="41">
        <f t="shared" ref="J69:M69" si="25">-J28</f>
        <v>-249563.4</v>
      </c>
      <c r="K69" s="41">
        <f t="shared" si="25"/>
        <v>-446075.07509999967</v>
      </c>
      <c r="L69" s="41">
        <f t="shared" si="25"/>
        <v>-561446.14800000004</v>
      </c>
      <c r="M69" s="41">
        <f t="shared" si="25"/>
        <v>-661805.0924399998</v>
      </c>
    </row>
    <row r="70" spans="2:13" x14ac:dyDescent="0.25">
      <c r="B70" t="s">
        <v>46</v>
      </c>
      <c r="I70" s="41">
        <f>-Operation!J49</f>
        <v>-1600000</v>
      </c>
      <c r="J70" s="41">
        <f>-Operation!K49</f>
        <v>-1600000</v>
      </c>
      <c r="K70" s="41">
        <f>-Operation!L49</f>
        <v>-1600000</v>
      </c>
      <c r="L70" s="41">
        <f>-Operation!M49</f>
        <v>-1600000</v>
      </c>
      <c r="M70" s="41">
        <f>-Operation!N49</f>
        <v>-1600000</v>
      </c>
    </row>
    <row r="71" spans="2:13" s="56" customFormat="1" x14ac:dyDescent="0.25">
      <c r="B71" s="56" t="s">
        <v>47</v>
      </c>
      <c r="I71" s="102">
        <f>SUM(I67:I70)</f>
        <v>13174172</v>
      </c>
      <c r="J71" s="102">
        <f t="shared" ref="J71:M71" si="26">SUM(J67:J70)</f>
        <v>-1849563.4</v>
      </c>
      <c r="K71" s="102">
        <f t="shared" si="26"/>
        <v>-2046075.0750999996</v>
      </c>
      <c r="L71" s="102">
        <f t="shared" si="26"/>
        <v>-2161446.148</v>
      </c>
      <c r="M71" s="102">
        <f t="shared" si="26"/>
        <v>-2261805.0924399998</v>
      </c>
    </row>
    <row r="72" spans="2:13" x14ac:dyDescent="0.25">
      <c r="I72" s="7"/>
      <c r="J72" s="7"/>
      <c r="K72" s="7"/>
    </row>
    <row r="73" spans="2:13" s="56" customFormat="1" x14ac:dyDescent="0.25">
      <c r="B73" s="56" t="s">
        <v>34</v>
      </c>
      <c r="I73" s="102">
        <f>I62+I65+I71</f>
        <v>1705445.4246575348</v>
      </c>
      <c r="J73" s="102">
        <f t="shared" ref="J73:M73" si="27">J62+J65+J71</f>
        <v>2320898.3534246576</v>
      </c>
      <c r="K73" s="102">
        <f t="shared" si="27"/>
        <v>3310354.1819136967</v>
      </c>
      <c r="L73" s="102">
        <f t="shared" si="27"/>
        <v>4071770.8640547954</v>
      </c>
      <c r="M73" s="102">
        <f t="shared" si="27"/>
        <v>4660387.7759545194</v>
      </c>
    </row>
    <row r="74" spans="2:13" x14ac:dyDescent="0.25">
      <c r="B74" t="s">
        <v>48</v>
      </c>
      <c r="I74" s="101">
        <v>0</v>
      </c>
      <c r="J74" s="101">
        <f>I75</f>
        <v>1705445.4246575348</v>
      </c>
      <c r="K74" s="101">
        <f t="shared" ref="K74:M74" si="28">J75</f>
        <v>4026343.7780821924</v>
      </c>
      <c r="L74" s="101">
        <f t="shared" si="28"/>
        <v>7336697.9599958891</v>
      </c>
      <c r="M74" s="101">
        <f t="shared" si="28"/>
        <v>11408468.824050684</v>
      </c>
    </row>
    <row r="75" spans="2:13" s="57" customFormat="1" ht="15.75" thickBot="1" x14ac:dyDescent="0.3">
      <c r="B75" s="57" t="s">
        <v>49</v>
      </c>
      <c r="I75" s="104">
        <f>SUM(I73:I74)</f>
        <v>1705445.4246575348</v>
      </c>
      <c r="J75" s="104">
        <f t="shared" ref="J75:M75" si="29">SUM(J73:J74)</f>
        <v>4026343.7780821924</v>
      </c>
      <c r="K75" s="104">
        <f t="shared" si="29"/>
        <v>7336697.9599958891</v>
      </c>
      <c r="L75" s="104">
        <f t="shared" si="29"/>
        <v>11408468.824050684</v>
      </c>
      <c r="M75" s="104">
        <f t="shared" si="29"/>
        <v>16068856.600005202</v>
      </c>
    </row>
    <row r="76" spans="2:13" ht="15.75" thickTop="1" x14ac:dyDescent="0.25"/>
    <row r="78" spans="2:13" s="42" customFormat="1" x14ac:dyDescent="0.25">
      <c r="B78" s="42" t="s">
        <v>173</v>
      </c>
    </row>
    <row r="79" spans="2:13" s="45" customFormat="1" x14ac:dyDescent="0.25">
      <c r="B79" s="45" t="s">
        <v>175</v>
      </c>
    </row>
    <row r="80" spans="2:13" x14ac:dyDescent="0.25">
      <c r="B80" t="s">
        <v>176</v>
      </c>
      <c r="I80" s="41">
        <f>I74</f>
        <v>0</v>
      </c>
      <c r="J80" s="41">
        <f t="shared" ref="J80:M80" si="30">J74</f>
        <v>1705445.4246575348</v>
      </c>
      <c r="K80" s="41">
        <f t="shared" si="30"/>
        <v>4026343.7780821924</v>
      </c>
      <c r="L80" s="41">
        <f t="shared" si="30"/>
        <v>7336697.9599958891</v>
      </c>
      <c r="M80" s="41">
        <f t="shared" si="30"/>
        <v>11408468.824050684</v>
      </c>
    </row>
    <row r="81" spans="2:13" x14ac:dyDescent="0.25">
      <c r="B81" t="s">
        <v>177</v>
      </c>
      <c r="I81" s="41">
        <f>I62</f>
        <v>1531273.4246575343</v>
      </c>
      <c r="J81" s="41">
        <f t="shared" ref="J81:M81" si="31">J62</f>
        <v>4170461.7534246575</v>
      </c>
      <c r="K81" s="41">
        <f t="shared" si="31"/>
        <v>5356429.2570136962</v>
      </c>
      <c r="L81" s="41">
        <f t="shared" si="31"/>
        <v>6233217.0120547954</v>
      </c>
      <c r="M81" s="41">
        <f t="shared" si="31"/>
        <v>6922192.8683945192</v>
      </c>
    </row>
    <row r="82" spans="2:13" x14ac:dyDescent="0.25">
      <c r="B82" t="s">
        <v>178</v>
      </c>
      <c r="I82" s="41">
        <f>I65</f>
        <v>-13000000</v>
      </c>
      <c r="J82" s="101">
        <v>0</v>
      </c>
      <c r="K82" s="101">
        <v>0</v>
      </c>
      <c r="L82" s="101">
        <v>0</v>
      </c>
      <c r="M82" s="101">
        <v>0</v>
      </c>
    </row>
    <row r="83" spans="2:13" x14ac:dyDescent="0.25">
      <c r="B83" t="s">
        <v>191</v>
      </c>
      <c r="I83" s="41">
        <f>I67</f>
        <v>7000000</v>
      </c>
      <c r="J83" s="101"/>
      <c r="K83" s="101"/>
      <c r="L83" s="101"/>
      <c r="M83" s="101"/>
    </row>
    <row r="84" spans="2:13" x14ac:dyDescent="0.25">
      <c r="B84" t="s">
        <v>192</v>
      </c>
      <c r="I84" s="101">
        <f>I68</f>
        <v>8000000</v>
      </c>
      <c r="J84" s="101">
        <f t="shared" ref="J84:M84" si="32">J68</f>
        <v>0</v>
      </c>
      <c r="K84" s="101">
        <f t="shared" si="32"/>
        <v>0</v>
      </c>
      <c r="L84" s="101">
        <f t="shared" si="32"/>
        <v>0</v>
      </c>
      <c r="M84" s="101">
        <f t="shared" si="32"/>
        <v>0</v>
      </c>
    </row>
    <row r="85" spans="2:13" x14ac:dyDescent="0.25">
      <c r="B85" t="s">
        <v>193</v>
      </c>
      <c r="I85" s="101">
        <f>I70</f>
        <v>-1600000</v>
      </c>
      <c r="J85" s="101">
        <f t="shared" ref="J85:M85" si="33">J70</f>
        <v>-1600000</v>
      </c>
      <c r="K85" s="101">
        <f t="shared" si="33"/>
        <v>-1600000</v>
      </c>
      <c r="L85" s="101">
        <f t="shared" si="33"/>
        <v>-1600000</v>
      </c>
      <c r="M85" s="101">
        <f t="shared" si="33"/>
        <v>-1600000</v>
      </c>
    </row>
    <row r="86" spans="2:13" x14ac:dyDescent="0.25">
      <c r="B86" t="s">
        <v>33</v>
      </c>
      <c r="I86" s="41">
        <f>I69</f>
        <v>-225828</v>
      </c>
      <c r="J86" s="41">
        <f t="shared" ref="J86:M86" si="34">J69</f>
        <v>-249563.4</v>
      </c>
      <c r="K86" s="41">
        <f t="shared" si="34"/>
        <v>-446075.07509999967</v>
      </c>
      <c r="L86" s="41">
        <f t="shared" si="34"/>
        <v>-561446.14800000004</v>
      </c>
      <c r="M86" s="41">
        <f t="shared" si="34"/>
        <v>-661805.0924399998</v>
      </c>
    </row>
    <row r="87" spans="2:13" s="56" customFormat="1" x14ac:dyDescent="0.25">
      <c r="B87" s="56" t="s">
        <v>179</v>
      </c>
      <c r="I87" s="102">
        <f>SUM(I80:I86)</f>
        <v>1705445.4246575348</v>
      </c>
      <c r="J87" s="102">
        <f t="shared" ref="J87:M87" si="35">SUM(J80:J86)</f>
        <v>4026343.7780821924</v>
      </c>
      <c r="K87" s="102">
        <f t="shared" si="35"/>
        <v>7336697.9599958891</v>
      </c>
      <c r="L87" s="102">
        <f t="shared" si="35"/>
        <v>11408468.824050685</v>
      </c>
      <c r="M87" s="102">
        <f t="shared" si="35"/>
        <v>16068856.600005204</v>
      </c>
    </row>
    <row r="89" spans="2:13" s="45" customFormat="1" x14ac:dyDescent="0.25">
      <c r="B89" s="45" t="s">
        <v>173</v>
      </c>
    </row>
    <row r="91" spans="2:13" x14ac:dyDescent="0.25">
      <c r="B91" t="s">
        <v>180</v>
      </c>
      <c r="I91" s="101">
        <v>0</v>
      </c>
      <c r="J91" s="101">
        <v>0</v>
      </c>
      <c r="K91" s="101">
        <v>0</v>
      </c>
      <c r="L91" s="101">
        <v>0</v>
      </c>
      <c r="M91" s="101">
        <v>0</v>
      </c>
    </row>
    <row r="92" spans="2:13" x14ac:dyDescent="0.25">
      <c r="B92" t="s">
        <v>181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</row>
    <row r="93" spans="2:13" s="57" customFormat="1" ht="15.75" thickBot="1" x14ac:dyDescent="0.3">
      <c r="B93" s="57" t="s">
        <v>182</v>
      </c>
      <c r="I93" s="104">
        <f>SUM(I91:I92)</f>
        <v>0</v>
      </c>
      <c r="J93" s="104">
        <f t="shared" ref="J93:M93" si="36">SUM(J91:J92)</f>
        <v>0</v>
      </c>
      <c r="K93" s="104">
        <f t="shared" si="36"/>
        <v>0</v>
      </c>
      <c r="L93" s="104">
        <f t="shared" si="36"/>
        <v>0</v>
      </c>
      <c r="M93" s="104">
        <f t="shared" si="36"/>
        <v>0</v>
      </c>
    </row>
    <row r="94" spans="2:13" ht="15.75" thickTop="1" x14ac:dyDescent="0.25"/>
    <row r="95" spans="2:13" x14ac:dyDescent="0.25">
      <c r="B95" t="s">
        <v>183</v>
      </c>
      <c r="I95" s="109">
        <v>3.5000000000000003E-2</v>
      </c>
      <c r="J95" s="109">
        <v>3.5000000000000003E-2</v>
      </c>
      <c r="K95" s="109">
        <v>3.5000000000000003E-2</v>
      </c>
      <c r="L95" s="109">
        <v>3.5000000000000003E-2</v>
      </c>
      <c r="M95" s="109">
        <v>3.5000000000000003E-2</v>
      </c>
    </row>
    <row r="96" spans="2:13" x14ac:dyDescent="0.25">
      <c r="B96" t="s">
        <v>184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</row>
    <row r="97" spans="2:13" s="57" customFormat="1" ht="15.75" thickBot="1" x14ac:dyDescent="0.3">
      <c r="B97" s="57" t="s">
        <v>185</v>
      </c>
      <c r="I97" s="77">
        <f>I96+Operation!J52</f>
        <v>1600000</v>
      </c>
      <c r="J97" s="77">
        <f>J96+Operation!K52</f>
        <v>1280000</v>
      </c>
      <c r="K97" s="77">
        <f>K96+Operation!L52</f>
        <v>960000</v>
      </c>
      <c r="L97" s="77">
        <f>L96+Operation!M52</f>
        <v>640000</v>
      </c>
      <c r="M97" s="77">
        <f>M96+Operation!N52</f>
        <v>320000</v>
      </c>
    </row>
    <row r="98" spans="2:13" ht="15.75" thickTop="1" x14ac:dyDescent="0.2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M4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21" sqref="G21"/>
    </sheetView>
  </sheetViews>
  <sheetFormatPr defaultRowHeight="15" x14ac:dyDescent="0.25"/>
  <cols>
    <col min="1" max="3" width="2.5703125" customWidth="1"/>
    <col min="4" max="4" width="33" customWidth="1"/>
    <col min="6" max="7" width="2.7109375" customWidth="1"/>
    <col min="8" max="8" width="12.42578125" bestFit="1" customWidth="1"/>
    <col min="9" max="13" width="15.5703125" customWidth="1"/>
  </cols>
  <sheetData>
    <row r="1" spans="1:13" x14ac:dyDescent="0.25">
      <c r="A1" s="36" t="str">
        <f>coyname</f>
        <v xml:space="preserve">ABC BOTTLE WATER </v>
      </c>
      <c r="B1" s="36"/>
      <c r="C1" s="36"/>
      <c r="D1" s="36"/>
      <c r="E1" s="36"/>
      <c r="F1" s="36"/>
      <c r="G1" s="36"/>
      <c r="H1" s="36" t="s">
        <v>77</v>
      </c>
      <c r="I1" s="37">
        <f>'Cover page'!I14</f>
        <v>2025</v>
      </c>
      <c r="J1" s="37">
        <f t="shared" ref="J1:M1" si="0">I1+1</f>
        <v>2026</v>
      </c>
      <c r="K1" s="37">
        <f t="shared" si="0"/>
        <v>2027</v>
      </c>
      <c r="L1" s="37">
        <f t="shared" si="0"/>
        <v>2028</v>
      </c>
      <c r="M1" s="37">
        <f t="shared" si="0"/>
        <v>2029</v>
      </c>
    </row>
    <row r="2" spans="1:13" x14ac:dyDescent="0.25">
      <c r="A2" s="36" t="s">
        <v>76</v>
      </c>
      <c r="B2" s="36"/>
      <c r="C2" s="36"/>
      <c r="D2" s="36"/>
      <c r="E2" s="36"/>
      <c r="F2" s="36"/>
      <c r="G2" s="36"/>
      <c r="H2" s="36" t="s">
        <v>78</v>
      </c>
      <c r="I2" s="38">
        <f>'Cover page'!I16</f>
        <v>45658</v>
      </c>
      <c r="J2" s="38">
        <f t="shared" ref="J2:M2" si="1">EDATE(I2,12)</f>
        <v>46023</v>
      </c>
      <c r="K2" s="38">
        <f t="shared" si="1"/>
        <v>46388</v>
      </c>
      <c r="L2" s="38">
        <f t="shared" si="1"/>
        <v>46753</v>
      </c>
      <c r="M2" s="38">
        <f t="shared" si="1"/>
        <v>47119</v>
      </c>
    </row>
    <row r="3" spans="1:13" x14ac:dyDescent="0.25">
      <c r="A3" s="36" t="s">
        <v>194</v>
      </c>
      <c r="B3" s="36"/>
      <c r="C3" s="36"/>
      <c r="D3" s="36"/>
      <c r="E3" s="36"/>
      <c r="F3" s="36"/>
      <c r="G3" s="36"/>
      <c r="H3" s="36" t="s">
        <v>79</v>
      </c>
      <c r="I3" s="38">
        <f t="shared" ref="I3:M3" si="2">DATE(I1,12,31)</f>
        <v>46022</v>
      </c>
      <c r="J3" s="38">
        <f t="shared" si="2"/>
        <v>46387</v>
      </c>
      <c r="K3" s="38">
        <f t="shared" si="2"/>
        <v>46752</v>
      </c>
      <c r="L3" s="38">
        <f t="shared" si="2"/>
        <v>47118</v>
      </c>
      <c r="M3" s="38">
        <f t="shared" si="2"/>
        <v>47483</v>
      </c>
    </row>
    <row r="4" spans="1:13" x14ac:dyDescent="0.25">
      <c r="A4" s="36"/>
      <c r="B4" s="36"/>
      <c r="C4" s="36"/>
      <c r="D4" s="36"/>
      <c r="E4" s="36"/>
      <c r="F4" s="36"/>
      <c r="G4" s="36"/>
      <c r="H4" s="36" t="s">
        <v>80</v>
      </c>
      <c r="I4" s="55">
        <v>1</v>
      </c>
      <c r="J4" s="55">
        <f>I4+1</f>
        <v>2</v>
      </c>
      <c r="K4" s="55">
        <f t="shared" ref="K4:M4" si="3">J4+1</f>
        <v>3</v>
      </c>
      <c r="L4" s="55">
        <f t="shared" si="3"/>
        <v>4</v>
      </c>
      <c r="M4" s="55">
        <f t="shared" si="3"/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82"/>
  <sheetViews>
    <sheetView showGridLines="0" zoomScale="80" zoomScaleNormal="80" workbookViewId="0">
      <pane xSplit="5" ySplit="4" topLeftCell="F36" activePane="bottomRight" state="frozen"/>
      <selection activeCell="J58" sqref="J58"/>
      <selection pane="topRight" activeCell="J58" sqref="J58"/>
      <selection pane="bottomLeft" activeCell="J58" sqref="J58"/>
      <selection pane="bottomRight" activeCell="L56" sqref="L56"/>
    </sheetView>
  </sheetViews>
  <sheetFormatPr defaultColWidth="0" defaultRowHeight="15" x14ac:dyDescent="0.25"/>
  <cols>
    <col min="1" max="1" width="3.85546875" style="86" customWidth="1"/>
    <col min="2" max="3" width="2.5703125" customWidth="1"/>
    <col min="4" max="4" width="33" customWidth="1"/>
    <col min="5" max="5" width="17.140625" bestFit="1" customWidth="1"/>
    <col min="6" max="6" width="2.7109375" customWidth="1"/>
    <col min="7" max="7" width="5.42578125" customWidth="1"/>
    <col min="8" max="8" width="12.42578125" bestFit="1" customWidth="1"/>
    <col min="9" max="9" width="3.5703125" customWidth="1"/>
    <col min="10" max="14" width="19.42578125" customWidth="1"/>
    <col min="15" max="19" width="0" hidden="1" customWidth="1"/>
    <col min="20" max="16384" width="9.140625" hidden="1"/>
  </cols>
  <sheetData>
    <row r="1" spans="1:14" x14ac:dyDescent="0.25">
      <c r="A1" s="110" t="str">
        <f>coyname</f>
        <v xml:space="preserve">ABC BOTTLE WATER </v>
      </c>
      <c r="B1" s="111"/>
      <c r="C1" s="111"/>
      <c r="D1" s="111"/>
      <c r="E1" s="36"/>
      <c r="F1" s="36"/>
      <c r="G1" s="36"/>
      <c r="H1" s="36" t="s">
        <v>77</v>
      </c>
      <c r="I1" s="36"/>
      <c r="J1" s="37">
        <f>'Cover page'!I14</f>
        <v>2025</v>
      </c>
      <c r="K1" s="37">
        <f t="shared" ref="K1:N1" si="0">J1+1</f>
        <v>2026</v>
      </c>
      <c r="L1" s="37">
        <f t="shared" si="0"/>
        <v>2027</v>
      </c>
      <c r="M1" s="37">
        <f t="shared" si="0"/>
        <v>2028</v>
      </c>
      <c r="N1" s="37">
        <f t="shared" si="0"/>
        <v>2029</v>
      </c>
    </row>
    <row r="2" spans="1:14" x14ac:dyDescent="0.25">
      <c r="A2" s="110" t="s">
        <v>76</v>
      </c>
      <c r="B2" s="111"/>
      <c r="C2" s="111"/>
      <c r="D2" s="111"/>
      <c r="E2" s="36"/>
      <c r="F2" s="36"/>
      <c r="G2" s="36"/>
      <c r="H2" s="36" t="s">
        <v>78</v>
      </c>
      <c r="I2" s="36"/>
      <c r="J2" s="38">
        <f>'Cover page'!I16</f>
        <v>45658</v>
      </c>
      <c r="K2" s="38">
        <f t="shared" ref="K2:N2" si="1">EDATE(J2,12)</f>
        <v>46023</v>
      </c>
      <c r="L2" s="38">
        <f t="shared" si="1"/>
        <v>46388</v>
      </c>
      <c r="M2" s="38">
        <f t="shared" si="1"/>
        <v>46753</v>
      </c>
      <c r="N2" s="38">
        <f t="shared" si="1"/>
        <v>47119</v>
      </c>
    </row>
    <row r="3" spans="1:14" x14ac:dyDescent="0.25">
      <c r="A3" s="111" t="s">
        <v>194</v>
      </c>
      <c r="B3" s="111"/>
      <c r="C3" s="111"/>
      <c r="D3" s="111"/>
      <c r="E3" s="36"/>
      <c r="F3" s="36"/>
      <c r="G3" s="36"/>
      <c r="H3" s="36" t="s">
        <v>79</v>
      </c>
      <c r="I3" s="36"/>
      <c r="J3" s="38">
        <f t="shared" ref="J3:N3" si="2">DATE(J1,12,31)</f>
        <v>46022</v>
      </c>
      <c r="K3" s="38">
        <f t="shared" si="2"/>
        <v>46387</v>
      </c>
      <c r="L3" s="38">
        <f t="shared" si="2"/>
        <v>46752</v>
      </c>
      <c r="M3" s="38">
        <f t="shared" si="2"/>
        <v>47118</v>
      </c>
      <c r="N3" s="38">
        <f t="shared" si="2"/>
        <v>47483</v>
      </c>
    </row>
    <row r="4" spans="1:14" x14ac:dyDescent="0.25">
      <c r="A4" s="85"/>
      <c r="B4" s="36"/>
      <c r="C4" s="36"/>
      <c r="D4" s="36"/>
      <c r="E4" s="36"/>
      <c r="F4" s="36"/>
      <c r="G4" s="36"/>
      <c r="H4" s="36" t="s">
        <v>80</v>
      </c>
      <c r="I4" s="36"/>
      <c r="J4" s="55">
        <v>1</v>
      </c>
      <c r="K4" s="55">
        <f>J4+1</f>
        <v>2</v>
      </c>
      <c r="L4" s="55">
        <f t="shared" ref="L4:N4" si="3">K4+1</f>
        <v>3</v>
      </c>
      <c r="M4" s="55">
        <f t="shared" si="3"/>
        <v>4</v>
      </c>
      <c r="N4" s="55">
        <f t="shared" si="3"/>
        <v>5</v>
      </c>
    </row>
    <row r="6" spans="1:14" x14ac:dyDescent="0.25">
      <c r="A6" s="78">
        <v>1</v>
      </c>
      <c r="B6" s="47" t="s">
        <v>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x14ac:dyDescent="0.25">
      <c r="D7" t="s">
        <v>105</v>
      </c>
      <c r="H7" s="71">
        <f>Input!H19</f>
        <v>20000</v>
      </c>
      <c r="I7" s="76"/>
    </row>
    <row r="8" spans="1:14" x14ac:dyDescent="0.25">
      <c r="D8" t="s">
        <v>106</v>
      </c>
      <c r="H8" s="41">
        <f>Input!H20</f>
        <v>18000</v>
      </c>
      <c r="I8" s="41"/>
    </row>
    <row r="9" spans="1:14" x14ac:dyDescent="0.25">
      <c r="D9" t="s">
        <v>140</v>
      </c>
      <c r="J9" s="101">
        <v>0</v>
      </c>
      <c r="K9" s="59">
        <v>0.05</v>
      </c>
      <c r="L9" s="59">
        <v>0.05</v>
      </c>
      <c r="M9" s="59">
        <v>0.05</v>
      </c>
      <c r="N9" s="59">
        <v>0.05</v>
      </c>
    </row>
    <row r="10" spans="1:14" x14ac:dyDescent="0.25">
      <c r="A10" s="86" t="s">
        <v>144</v>
      </c>
      <c r="B10" s="3" t="s">
        <v>143</v>
      </c>
      <c r="J10" s="82">
        <f>H8*(1+J9)</f>
        <v>18000</v>
      </c>
      <c r="K10" s="82">
        <f>J10*(1+K9)</f>
        <v>18900</v>
      </c>
      <c r="L10" s="82">
        <f t="shared" ref="L10" si="4">K10*(1+L9)</f>
        <v>19845</v>
      </c>
      <c r="M10" s="82">
        <f>IF(L10*(1+M9)&gt;$H$7,$H$7,0)</f>
        <v>20000</v>
      </c>
      <c r="N10" s="82">
        <f>IF(M10*(1+N9)&gt;$H$7,$H$7,0)</f>
        <v>20000</v>
      </c>
    </row>
    <row r="11" spans="1:14" x14ac:dyDescent="0.25">
      <c r="B11" s="3"/>
      <c r="D11" t="s">
        <v>97</v>
      </c>
      <c r="H11" s="79">
        <f>Input!H9</f>
        <v>0.03</v>
      </c>
      <c r="J11" s="80"/>
      <c r="K11" s="80"/>
      <c r="L11" s="80"/>
      <c r="M11" s="81"/>
      <c r="N11" s="81"/>
    </row>
    <row r="12" spans="1:14" x14ac:dyDescent="0.25">
      <c r="A12" s="86" t="s">
        <v>147</v>
      </c>
      <c r="D12" t="s">
        <v>145</v>
      </c>
      <c r="J12" s="7">
        <f>Input!H12</f>
        <v>3000</v>
      </c>
      <c r="K12" s="7">
        <f>J12</f>
        <v>3000</v>
      </c>
      <c r="L12" s="7">
        <f>K12*(1+$H$11)</f>
        <v>3090</v>
      </c>
      <c r="M12" s="7">
        <f t="shared" ref="M12:N12" si="5">L12*(1+$H$11)</f>
        <v>3182.7000000000003</v>
      </c>
      <c r="N12" s="7">
        <f t="shared" si="5"/>
        <v>3278.1810000000005</v>
      </c>
    </row>
    <row r="13" spans="1:14" ht="15.75" thickBot="1" x14ac:dyDescent="0.3">
      <c r="B13" s="3" t="s">
        <v>141</v>
      </c>
      <c r="E13" t="s">
        <v>146</v>
      </c>
      <c r="J13" s="66">
        <f>J10*J12</f>
        <v>54000000</v>
      </c>
      <c r="K13" s="66">
        <f t="shared" ref="K13:N13" si="6">K10*K12</f>
        <v>56700000</v>
      </c>
      <c r="L13" s="66">
        <f t="shared" si="6"/>
        <v>61321050</v>
      </c>
      <c r="M13" s="66">
        <f t="shared" si="6"/>
        <v>63654000.000000007</v>
      </c>
      <c r="N13" s="66">
        <f t="shared" si="6"/>
        <v>65563620.000000007</v>
      </c>
    </row>
    <row r="14" spans="1:14" ht="15.75" thickTop="1" x14ac:dyDescent="0.25">
      <c r="H14" s="1"/>
      <c r="I14" s="1"/>
      <c r="J14" s="1"/>
      <c r="K14" s="1"/>
    </row>
    <row r="15" spans="1:14" x14ac:dyDescent="0.25">
      <c r="A15" s="78">
        <v>2</v>
      </c>
      <c r="B15" s="47" t="s">
        <v>142</v>
      </c>
      <c r="C15" s="11"/>
      <c r="D15" s="11"/>
      <c r="E15" s="11"/>
      <c r="F15" s="11"/>
      <c r="G15" s="11"/>
      <c r="H15" s="60"/>
      <c r="I15" s="60"/>
      <c r="J15" s="60"/>
      <c r="K15" s="60"/>
      <c r="L15" s="11"/>
      <c r="M15" s="11"/>
      <c r="N15" s="11"/>
    </row>
    <row r="16" spans="1:14" x14ac:dyDescent="0.25">
      <c r="B16" s="3"/>
      <c r="D16" t="s">
        <v>101</v>
      </c>
      <c r="H16" s="41">
        <f>Input!H14</f>
        <v>1000</v>
      </c>
      <c r="J16" s="1"/>
      <c r="K16" s="1"/>
    </row>
    <row r="17" spans="1:15" x14ac:dyDescent="0.25">
      <c r="B17" s="3"/>
      <c r="D17" t="s">
        <v>102</v>
      </c>
      <c r="H17" s="41">
        <f>Input!H15</f>
        <v>500</v>
      </c>
      <c r="J17" s="1"/>
      <c r="K17" s="1"/>
    </row>
    <row r="18" spans="1:15" x14ac:dyDescent="0.25">
      <c r="B18" s="3"/>
      <c r="D18" t="s">
        <v>103</v>
      </c>
      <c r="H18" s="41">
        <f>Input!H16</f>
        <v>400</v>
      </c>
      <c r="J18" s="1"/>
      <c r="K18" s="1"/>
    </row>
    <row r="19" spans="1:15" x14ac:dyDescent="0.25">
      <c r="B19" s="3"/>
      <c r="D19" t="s">
        <v>97</v>
      </c>
      <c r="H19" s="79">
        <f>H11</f>
        <v>0.03</v>
      </c>
      <c r="J19" s="1"/>
      <c r="K19" s="1"/>
    </row>
    <row r="20" spans="1:15" x14ac:dyDescent="0.25">
      <c r="A20" s="86" t="s">
        <v>144</v>
      </c>
      <c r="C20" s="68" t="s">
        <v>99</v>
      </c>
      <c r="D20" s="3"/>
      <c r="H20" s="67">
        <f>SUM(H16:H18)</f>
        <v>1900</v>
      </c>
      <c r="I20" s="67"/>
      <c r="J20" s="84">
        <f>H20</f>
        <v>1900</v>
      </c>
      <c r="K20" s="84">
        <f>J20*(1+$H$19)</f>
        <v>1957</v>
      </c>
      <c r="L20" s="84">
        <f t="shared" ref="L20:M20" si="7">K20*(1+$H$19)</f>
        <v>2015.71</v>
      </c>
      <c r="M20" s="84">
        <f t="shared" si="7"/>
        <v>2076.1813000000002</v>
      </c>
      <c r="N20" s="84">
        <f>M20*(1+$H$19)</f>
        <v>2138.4667390000004</v>
      </c>
    </row>
    <row r="21" spans="1:15" x14ac:dyDescent="0.25">
      <c r="A21" s="86" t="s">
        <v>147</v>
      </c>
      <c r="B21" s="68" t="s">
        <v>143</v>
      </c>
      <c r="C21" s="3"/>
      <c r="D21" s="3"/>
      <c r="H21" s="67"/>
      <c r="I21" s="67"/>
      <c r="J21" s="83">
        <f>J10</f>
        <v>18000</v>
      </c>
      <c r="K21" s="83">
        <f t="shared" ref="K21:N21" si="8">K10</f>
        <v>18900</v>
      </c>
      <c r="L21" s="83">
        <f t="shared" si="8"/>
        <v>19845</v>
      </c>
      <c r="M21" s="83">
        <f t="shared" si="8"/>
        <v>20000</v>
      </c>
      <c r="N21" s="83">
        <f t="shared" si="8"/>
        <v>20000</v>
      </c>
    </row>
    <row r="22" spans="1:15" ht="15.75" thickBot="1" x14ac:dyDescent="0.3">
      <c r="B22" s="3" t="s">
        <v>150</v>
      </c>
      <c r="C22" s="3"/>
      <c r="D22" s="3"/>
      <c r="E22" t="s">
        <v>146</v>
      </c>
      <c r="H22" s="67"/>
      <c r="I22" s="67"/>
      <c r="J22" s="69">
        <f>J20*J21</f>
        <v>34200000</v>
      </c>
      <c r="K22" s="69">
        <f t="shared" ref="K22:N22" si="9">K20*K21</f>
        <v>36987300</v>
      </c>
      <c r="L22" s="69">
        <f t="shared" si="9"/>
        <v>40001764.950000003</v>
      </c>
      <c r="M22" s="69">
        <f t="shared" si="9"/>
        <v>41523626.000000007</v>
      </c>
      <c r="N22" s="69">
        <f t="shared" si="9"/>
        <v>42769334.780000009</v>
      </c>
      <c r="O22" s="70"/>
    </row>
    <row r="23" spans="1:15" ht="15.75" thickTop="1" x14ac:dyDescent="0.25">
      <c r="H23" s="1"/>
      <c r="I23" s="1"/>
      <c r="J23" s="1"/>
      <c r="K23" s="1"/>
    </row>
    <row r="24" spans="1:15" x14ac:dyDescent="0.25">
      <c r="A24" s="78">
        <v>3</v>
      </c>
      <c r="B24" s="47" t="s">
        <v>151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5" x14ac:dyDescent="0.25">
      <c r="A25" s="87"/>
      <c r="D25" t="s">
        <v>108</v>
      </c>
      <c r="E25" t="str">
        <f>Input!E24</f>
        <v>Months</v>
      </c>
      <c r="G25" s="2"/>
      <c r="H25" s="41">
        <f>Input!H24</f>
        <v>30000</v>
      </c>
      <c r="J25" s="40">
        <f>H25*Input!$H$7</f>
        <v>360000</v>
      </c>
      <c r="K25" s="40">
        <f t="shared" ref="K25:K30" si="10">J25</f>
        <v>360000</v>
      </c>
      <c r="L25" s="40">
        <f t="shared" ref="L25:N25" si="11">K25</f>
        <v>360000</v>
      </c>
      <c r="M25" s="40">
        <f t="shared" si="11"/>
        <v>360000</v>
      </c>
      <c r="N25" s="40">
        <f t="shared" si="11"/>
        <v>360000</v>
      </c>
    </row>
    <row r="26" spans="1:15" x14ac:dyDescent="0.25">
      <c r="A26" s="87"/>
      <c r="D26" t="s">
        <v>109</v>
      </c>
      <c r="E26" t="str">
        <f>Input!E25</f>
        <v>Months</v>
      </c>
      <c r="H26" s="41">
        <f>Input!H25</f>
        <v>50000</v>
      </c>
      <c r="J26" s="40">
        <f>H26*Input!$H$7</f>
        <v>600000</v>
      </c>
      <c r="K26" s="40">
        <f t="shared" si="10"/>
        <v>600000</v>
      </c>
      <c r="L26" s="40">
        <f t="shared" ref="L26:N26" si="12">K26</f>
        <v>600000</v>
      </c>
      <c r="M26" s="40">
        <f t="shared" si="12"/>
        <v>600000</v>
      </c>
      <c r="N26" s="40">
        <f t="shared" si="12"/>
        <v>600000</v>
      </c>
    </row>
    <row r="27" spans="1:15" x14ac:dyDescent="0.25">
      <c r="A27" s="87"/>
      <c r="D27" t="s">
        <v>110</v>
      </c>
      <c r="E27" t="str">
        <f>Input!E26</f>
        <v>Year</v>
      </c>
      <c r="H27" s="41">
        <f>Input!H26</f>
        <v>60000</v>
      </c>
      <c r="J27" s="41">
        <f>H27</f>
        <v>60000</v>
      </c>
      <c r="K27" s="41">
        <f t="shared" si="10"/>
        <v>60000</v>
      </c>
      <c r="L27" s="41">
        <f t="shared" ref="L27:N27" si="13">K27</f>
        <v>60000</v>
      </c>
      <c r="M27" s="41">
        <f t="shared" si="13"/>
        <v>60000</v>
      </c>
      <c r="N27" s="41">
        <f t="shared" si="13"/>
        <v>60000</v>
      </c>
    </row>
    <row r="28" spans="1:15" x14ac:dyDescent="0.25">
      <c r="A28" s="87"/>
      <c r="D28" t="s">
        <v>112</v>
      </c>
      <c r="E28" t="str">
        <f>Input!E27</f>
        <v>Year</v>
      </c>
      <c r="H28" s="41">
        <f>Input!H27</f>
        <v>30000</v>
      </c>
      <c r="J28" s="41">
        <f>H28</f>
        <v>30000</v>
      </c>
      <c r="K28" s="41">
        <f t="shared" si="10"/>
        <v>30000</v>
      </c>
      <c r="L28" s="41">
        <f t="shared" ref="L28:N30" si="14">K28</f>
        <v>30000</v>
      </c>
      <c r="M28" s="41">
        <f t="shared" si="14"/>
        <v>30000</v>
      </c>
      <c r="N28" s="41">
        <f t="shared" si="14"/>
        <v>30000</v>
      </c>
    </row>
    <row r="29" spans="1:15" x14ac:dyDescent="0.25">
      <c r="A29" s="87"/>
      <c r="D29" t="s">
        <v>113</v>
      </c>
      <c r="E29" t="str">
        <f>Input!E28</f>
        <v>Months</v>
      </c>
      <c r="H29" s="41">
        <f>Input!H28</f>
        <v>90000</v>
      </c>
      <c r="J29" s="40">
        <f>H29*Input!$H$7</f>
        <v>1080000</v>
      </c>
      <c r="K29" s="40">
        <f t="shared" si="10"/>
        <v>1080000</v>
      </c>
      <c r="L29" s="40">
        <f t="shared" si="14"/>
        <v>1080000</v>
      </c>
      <c r="M29" s="40">
        <f t="shared" si="14"/>
        <v>1080000</v>
      </c>
      <c r="N29" s="40">
        <f t="shared" si="14"/>
        <v>1080000</v>
      </c>
    </row>
    <row r="30" spans="1:15" x14ac:dyDescent="0.25">
      <c r="A30" s="87"/>
      <c r="D30" t="s">
        <v>114</v>
      </c>
      <c r="E30" t="str">
        <f>Input!E29</f>
        <v>Months</v>
      </c>
      <c r="H30" s="41">
        <f>Input!H29</f>
        <v>40000</v>
      </c>
      <c r="J30" s="40">
        <f>H30*Input!$H$7</f>
        <v>480000</v>
      </c>
      <c r="K30" s="40">
        <f t="shared" si="10"/>
        <v>480000</v>
      </c>
      <c r="L30" s="40">
        <f t="shared" si="14"/>
        <v>480000</v>
      </c>
      <c r="M30" s="40">
        <f t="shared" si="14"/>
        <v>480000</v>
      </c>
      <c r="N30" s="40">
        <f t="shared" si="14"/>
        <v>480000</v>
      </c>
    </row>
    <row r="31" spans="1:15" x14ac:dyDescent="0.25">
      <c r="A31" s="87"/>
      <c r="C31" s="3" t="s">
        <v>152</v>
      </c>
    </row>
    <row r="32" spans="1:15" x14ac:dyDescent="0.25">
      <c r="A32" s="87"/>
      <c r="D32" t="s">
        <v>116</v>
      </c>
      <c r="E32" t="s">
        <v>139</v>
      </c>
      <c r="F32" s="39">
        <v>1</v>
      </c>
      <c r="H32" s="41">
        <f>Input!H31</f>
        <v>180000</v>
      </c>
      <c r="J32" s="40">
        <f>H32*Input!$H$7*F32</f>
        <v>2160000</v>
      </c>
      <c r="K32" s="40">
        <f t="shared" ref="K32:K37" si="15">J32</f>
        <v>2160000</v>
      </c>
      <c r="L32" s="40">
        <f t="shared" ref="L32:N32" si="16">K32</f>
        <v>2160000</v>
      </c>
      <c r="M32" s="40">
        <f t="shared" si="16"/>
        <v>2160000</v>
      </c>
      <c r="N32" s="40">
        <f t="shared" si="16"/>
        <v>2160000</v>
      </c>
    </row>
    <row r="33" spans="1:14" x14ac:dyDescent="0.25">
      <c r="A33" s="87"/>
      <c r="D33" t="s">
        <v>117</v>
      </c>
      <c r="E33" t="s">
        <v>139</v>
      </c>
      <c r="F33" s="39">
        <v>1</v>
      </c>
      <c r="H33" s="41">
        <f>Input!H32</f>
        <v>130000</v>
      </c>
      <c r="J33" s="40">
        <f>H33*F33*Input!H7</f>
        <v>1560000</v>
      </c>
      <c r="K33" s="40">
        <f t="shared" si="15"/>
        <v>1560000</v>
      </c>
      <c r="L33" s="40">
        <f t="shared" ref="L33:N33" si="17">K33</f>
        <v>1560000</v>
      </c>
      <c r="M33" s="40">
        <f t="shared" si="17"/>
        <v>1560000</v>
      </c>
      <c r="N33" s="40">
        <f t="shared" si="17"/>
        <v>1560000</v>
      </c>
    </row>
    <row r="34" spans="1:14" x14ac:dyDescent="0.25">
      <c r="A34" s="87"/>
      <c r="D34" t="s">
        <v>118</v>
      </c>
      <c r="E34" t="s">
        <v>139</v>
      </c>
      <c r="F34" s="39">
        <v>2</v>
      </c>
      <c r="H34" s="41">
        <f>Input!H33</f>
        <v>50000</v>
      </c>
      <c r="J34" s="40">
        <f>H34*F34*Input!$H$7</f>
        <v>1200000</v>
      </c>
      <c r="K34" s="40">
        <f t="shared" si="15"/>
        <v>1200000</v>
      </c>
      <c r="L34" s="40">
        <f t="shared" ref="L34:N34" si="18">K34</f>
        <v>1200000</v>
      </c>
      <c r="M34" s="40">
        <f t="shared" si="18"/>
        <v>1200000</v>
      </c>
      <c r="N34" s="40">
        <f t="shared" si="18"/>
        <v>1200000</v>
      </c>
    </row>
    <row r="35" spans="1:14" x14ac:dyDescent="0.25">
      <c r="A35" s="87"/>
      <c r="D35" t="s">
        <v>119</v>
      </c>
      <c r="E35" t="s">
        <v>139</v>
      </c>
      <c r="F35" s="39">
        <v>1</v>
      </c>
      <c r="H35" s="41">
        <f>Input!H34</f>
        <v>20000</v>
      </c>
      <c r="J35" s="40">
        <f>H35*F35*Input!$H$7</f>
        <v>240000</v>
      </c>
      <c r="K35" s="40">
        <f t="shared" si="15"/>
        <v>240000</v>
      </c>
      <c r="L35" s="40">
        <f t="shared" ref="L35:N35" si="19">K35</f>
        <v>240000</v>
      </c>
      <c r="M35" s="40">
        <f t="shared" si="19"/>
        <v>240000</v>
      </c>
      <c r="N35" s="40">
        <f t="shared" si="19"/>
        <v>240000</v>
      </c>
    </row>
    <row r="36" spans="1:14" x14ac:dyDescent="0.25">
      <c r="A36" s="87"/>
      <c r="D36" t="s">
        <v>153</v>
      </c>
      <c r="E36" t="s">
        <v>139</v>
      </c>
      <c r="F36" s="39">
        <v>3</v>
      </c>
      <c r="H36" s="41">
        <f>Input!H35</f>
        <v>65000</v>
      </c>
      <c r="J36" s="40">
        <f>H36*F36*Input!$H$7</f>
        <v>2340000</v>
      </c>
      <c r="K36" s="40">
        <f t="shared" si="15"/>
        <v>2340000</v>
      </c>
      <c r="L36" s="40">
        <f t="shared" ref="L36:N37" si="20">K36</f>
        <v>2340000</v>
      </c>
      <c r="M36" s="40">
        <f t="shared" si="20"/>
        <v>2340000</v>
      </c>
      <c r="N36" s="40">
        <f t="shared" si="20"/>
        <v>2340000</v>
      </c>
    </row>
    <row r="37" spans="1:14" x14ac:dyDescent="0.25">
      <c r="A37" s="87"/>
      <c r="D37" t="s">
        <v>120</v>
      </c>
      <c r="E37" s="75">
        <v>6</v>
      </c>
      <c r="F37" s="39">
        <v>7</v>
      </c>
      <c r="H37" s="41">
        <f>Input!H36</f>
        <v>1500</v>
      </c>
      <c r="J37" s="40">
        <f>H37*F37*E37*Input!H8</f>
        <v>3276000</v>
      </c>
      <c r="K37" s="40">
        <f t="shared" si="15"/>
        <v>3276000</v>
      </c>
      <c r="L37" s="40">
        <f t="shared" si="20"/>
        <v>3276000</v>
      </c>
      <c r="M37" s="40">
        <f t="shared" si="20"/>
        <v>3276000</v>
      </c>
      <c r="N37" s="40">
        <f t="shared" si="20"/>
        <v>3276000</v>
      </c>
    </row>
    <row r="38" spans="1:14" ht="15.75" thickBot="1" x14ac:dyDescent="0.3">
      <c r="A38" s="87"/>
      <c r="C38" s="3" t="s">
        <v>155</v>
      </c>
      <c r="D38" s="5"/>
      <c r="E38" s="5"/>
      <c r="F38" s="5"/>
      <c r="G38" s="4"/>
      <c r="H38" s="4"/>
      <c r="I38" s="4"/>
      <c r="J38" s="77">
        <f>SUM(J25:J37)</f>
        <v>13386000</v>
      </c>
      <c r="K38" s="77">
        <f t="shared" ref="K38:N38" si="21">SUM(K25:K37)</f>
        <v>13386000</v>
      </c>
      <c r="L38" s="77">
        <f t="shared" si="21"/>
        <v>13386000</v>
      </c>
      <c r="M38" s="77">
        <f t="shared" si="21"/>
        <v>13386000</v>
      </c>
      <c r="N38" s="77">
        <f t="shared" si="21"/>
        <v>13386000</v>
      </c>
    </row>
    <row r="39" spans="1:14" ht="15.75" thickTop="1" x14ac:dyDescent="0.25">
      <c r="A39" s="87"/>
      <c r="C39" s="3"/>
      <c r="D39" s="5"/>
      <c r="E39" s="5"/>
      <c r="F39" s="5"/>
      <c r="G39" s="4"/>
      <c r="H39" s="4"/>
      <c r="I39" s="4"/>
    </row>
    <row r="40" spans="1:14" s="11" customFormat="1" x14ac:dyDescent="0.25">
      <c r="A40" s="88">
        <v>4</v>
      </c>
      <c r="B40" s="47" t="s">
        <v>156</v>
      </c>
      <c r="C40" s="47"/>
      <c r="D40" s="89"/>
      <c r="E40" s="89"/>
      <c r="F40" s="89"/>
      <c r="G40" s="90"/>
      <c r="H40" s="90"/>
    </row>
    <row r="41" spans="1:14" x14ac:dyDescent="0.25">
      <c r="A41"/>
      <c r="D41" t="s">
        <v>124</v>
      </c>
      <c r="H41" s="41">
        <f>Input!H40</f>
        <v>8000000</v>
      </c>
    </row>
    <row r="42" spans="1:14" x14ac:dyDescent="0.25">
      <c r="A42"/>
      <c r="D42" t="s">
        <v>24</v>
      </c>
      <c r="H42" s="41">
        <f>Input!H41</f>
        <v>3000000</v>
      </c>
    </row>
    <row r="43" spans="1:14" x14ac:dyDescent="0.25">
      <c r="A43"/>
      <c r="D43" t="s">
        <v>125</v>
      </c>
      <c r="H43" s="41">
        <f>Input!H42</f>
        <v>4000000</v>
      </c>
      <c r="I43" s="1"/>
      <c r="J43" s="1"/>
      <c r="K43" s="1"/>
    </row>
    <row r="44" spans="1:14" ht="15.75" thickBot="1" x14ac:dyDescent="0.3">
      <c r="A44"/>
      <c r="C44" s="3" t="s">
        <v>157</v>
      </c>
      <c r="H44" s="69">
        <f>SUM(H41:H43)</f>
        <v>15000000</v>
      </c>
      <c r="I44" s="5"/>
      <c r="J44" s="5"/>
      <c r="K44" s="5"/>
      <c r="L44" s="4"/>
      <c r="M44" s="4"/>
      <c r="N44" s="4"/>
    </row>
    <row r="45" spans="1:14" ht="15.75" thickTop="1" x14ac:dyDescent="0.25">
      <c r="H45" s="1"/>
      <c r="I45" s="1"/>
      <c r="J45" s="1"/>
      <c r="K45" s="1"/>
    </row>
    <row r="46" spans="1:14" s="11" customFormat="1" x14ac:dyDescent="0.25">
      <c r="A46" s="78">
        <v>5</v>
      </c>
      <c r="B46" s="47" t="s">
        <v>158</v>
      </c>
      <c r="H46" s="60"/>
      <c r="I46" s="60"/>
      <c r="J46" s="60"/>
      <c r="K46" s="60"/>
    </row>
    <row r="47" spans="1:14" x14ac:dyDescent="0.25">
      <c r="D47" t="s">
        <v>159</v>
      </c>
      <c r="H47" s="1"/>
      <c r="I47" s="1"/>
      <c r="J47" s="93">
        <v>0</v>
      </c>
      <c r="K47" s="40">
        <f>J50</f>
        <v>6400000</v>
      </c>
      <c r="L47" s="40">
        <f t="shared" ref="L47:N47" si="22">K50</f>
        <v>4800000</v>
      </c>
      <c r="M47" s="40">
        <f t="shared" si="22"/>
        <v>3200000</v>
      </c>
      <c r="N47" s="40">
        <f t="shared" si="22"/>
        <v>1600000</v>
      </c>
    </row>
    <row r="48" spans="1:14" x14ac:dyDescent="0.25">
      <c r="D48" t="s">
        <v>160</v>
      </c>
      <c r="H48" s="1"/>
      <c r="I48" s="1"/>
      <c r="J48" s="40">
        <f>H41</f>
        <v>8000000</v>
      </c>
      <c r="K48" s="93">
        <v>0</v>
      </c>
      <c r="L48" s="93">
        <v>0</v>
      </c>
      <c r="M48" s="93">
        <v>0</v>
      </c>
      <c r="N48" s="93">
        <v>0</v>
      </c>
    </row>
    <row r="49" spans="1:19" x14ac:dyDescent="0.25">
      <c r="D49" t="s">
        <v>161</v>
      </c>
      <c r="H49" s="1"/>
      <c r="I49" s="1"/>
      <c r="J49" s="40">
        <f>$J$48/Input!$H$53</f>
        <v>1600000</v>
      </c>
      <c r="K49" s="40">
        <f>$J$48/Input!$H$53</f>
        <v>1600000</v>
      </c>
      <c r="L49" s="40">
        <f>$J$48/Input!$H$53</f>
        <v>1600000</v>
      </c>
      <c r="M49" s="40">
        <f>$J$48/Input!$H$53</f>
        <v>1600000</v>
      </c>
      <c r="N49" s="40">
        <f>$J$48/Input!$H$53</f>
        <v>1600000</v>
      </c>
    </row>
    <row r="50" spans="1:19" s="57" customFormat="1" ht="15.75" thickBot="1" x14ac:dyDescent="0.3">
      <c r="A50" s="92"/>
      <c r="D50" s="57" t="s">
        <v>162</v>
      </c>
      <c r="H50" s="91"/>
      <c r="I50" s="91"/>
      <c r="J50" s="95">
        <f>J47+J48-J49</f>
        <v>6400000</v>
      </c>
      <c r="K50" s="95">
        <f t="shared" ref="K50:M50" si="23">K47+K48-K49</f>
        <v>4800000</v>
      </c>
      <c r="L50" s="95">
        <f t="shared" si="23"/>
        <v>3200000</v>
      </c>
      <c r="M50" s="95">
        <f t="shared" si="23"/>
        <v>1600000</v>
      </c>
      <c r="N50" s="96">
        <v>0</v>
      </c>
    </row>
    <row r="51" spans="1:19" ht="15.75" thickTop="1" x14ac:dyDescent="0.25">
      <c r="H51" s="1"/>
      <c r="I51" s="1"/>
      <c r="J51" s="1"/>
      <c r="K51" s="1"/>
    </row>
    <row r="52" spans="1:19" x14ac:dyDescent="0.25">
      <c r="D52" s="3" t="s">
        <v>163</v>
      </c>
      <c r="H52" s="79">
        <f>Input!H45</f>
        <v>0.2</v>
      </c>
      <c r="I52" s="1"/>
      <c r="J52" s="40">
        <f>MAX(J47:J48)*$H$52</f>
        <v>1600000</v>
      </c>
      <c r="K52" s="40">
        <f t="shared" ref="K52:N52" si="24">MAX(K47:K48)*$H$52</f>
        <v>1280000</v>
      </c>
      <c r="L52" s="40">
        <f t="shared" si="24"/>
        <v>960000</v>
      </c>
      <c r="M52" s="40">
        <f t="shared" si="24"/>
        <v>640000</v>
      </c>
      <c r="N52" s="40">
        <f t="shared" si="24"/>
        <v>320000</v>
      </c>
    </row>
    <row r="53" spans="1:19" x14ac:dyDescent="0.25">
      <c r="G53" s="2"/>
      <c r="H53" s="1"/>
      <c r="I53" s="1"/>
      <c r="J53" s="1"/>
      <c r="K53" s="1"/>
      <c r="S53" t="s">
        <v>35</v>
      </c>
    </row>
    <row r="54" spans="1:19" s="11" customFormat="1" x14ac:dyDescent="0.25">
      <c r="A54" s="78">
        <v>6</v>
      </c>
      <c r="B54" s="47" t="s">
        <v>164</v>
      </c>
      <c r="G54" s="94"/>
      <c r="H54" s="60"/>
      <c r="I54" s="60"/>
      <c r="J54" s="60"/>
      <c r="K54" s="60"/>
    </row>
    <row r="55" spans="1:19" x14ac:dyDescent="0.25">
      <c r="D55" t="s">
        <v>130</v>
      </c>
      <c r="G55" s="2"/>
      <c r="H55" s="41">
        <f>Input!H49</f>
        <v>700000</v>
      </c>
      <c r="I55" s="1"/>
      <c r="J55" s="1"/>
      <c r="K55" s="1"/>
    </row>
    <row r="56" spans="1:19" x14ac:dyDescent="0.25">
      <c r="D56" t="s">
        <v>131</v>
      </c>
      <c r="G56" s="2"/>
      <c r="H56" s="41">
        <f>Input!H50</f>
        <v>8000000</v>
      </c>
      <c r="I56" s="1"/>
      <c r="J56" s="1"/>
      <c r="K56" s="1"/>
    </row>
    <row r="57" spans="1:19" x14ac:dyDescent="0.25">
      <c r="D57" t="s">
        <v>132</v>
      </c>
      <c r="G57" s="2"/>
      <c r="H57" s="41">
        <f>Input!H51</f>
        <v>3000000</v>
      </c>
      <c r="I57" s="1"/>
      <c r="J57" s="1"/>
      <c r="K57" s="1"/>
    </row>
    <row r="58" spans="1:19" x14ac:dyDescent="0.25">
      <c r="D58" t="s">
        <v>133</v>
      </c>
      <c r="G58" s="2"/>
      <c r="H58" s="41">
        <f>Input!H52</f>
        <v>1300000</v>
      </c>
      <c r="I58" s="1"/>
      <c r="J58" s="1"/>
      <c r="K58" s="1"/>
    </row>
    <row r="59" spans="1:19" ht="15.75" thickBot="1" x14ac:dyDescent="0.3">
      <c r="D59" s="3" t="s">
        <v>165</v>
      </c>
      <c r="G59" s="2"/>
      <c r="H59" s="69">
        <f>SUM(H55:H58)</f>
        <v>13000000</v>
      </c>
      <c r="I59" s="1"/>
      <c r="J59" s="1"/>
      <c r="K59" s="1"/>
    </row>
    <row r="60" spans="1:19" ht="15.75" thickTop="1" x14ac:dyDescent="0.25">
      <c r="G60" s="2"/>
      <c r="H60" s="1"/>
      <c r="I60" s="1"/>
      <c r="J60" s="1"/>
      <c r="K60" s="1"/>
    </row>
    <row r="61" spans="1:19" s="11" customFormat="1" x14ac:dyDescent="0.25">
      <c r="A61" s="78">
        <v>7</v>
      </c>
      <c r="B61" s="47" t="s">
        <v>166</v>
      </c>
      <c r="G61" s="94"/>
      <c r="H61" s="60"/>
      <c r="I61" s="60"/>
      <c r="J61" s="60"/>
      <c r="K61" s="60"/>
    </row>
    <row r="62" spans="1:19" x14ac:dyDescent="0.25">
      <c r="D62" t="s">
        <v>159</v>
      </c>
      <c r="G62" s="2"/>
      <c r="H62" s="1"/>
      <c r="I62" s="1"/>
      <c r="J62" s="93">
        <v>0</v>
      </c>
      <c r="K62" s="40">
        <f>J65</f>
        <v>10400000</v>
      </c>
      <c r="L62" s="40">
        <f t="shared" ref="L62:N62" si="25">K65</f>
        <v>7800000</v>
      </c>
      <c r="M62" s="40">
        <f t="shared" si="25"/>
        <v>5200000</v>
      </c>
      <c r="N62" s="40">
        <f t="shared" si="25"/>
        <v>2600000</v>
      </c>
    </row>
    <row r="63" spans="1:19" x14ac:dyDescent="0.25">
      <c r="D63" t="s">
        <v>32</v>
      </c>
      <c r="G63" s="2"/>
      <c r="H63" s="1"/>
      <c r="I63" s="1"/>
      <c r="J63" s="40">
        <f>H59</f>
        <v>13000000</v>
      </c>
      <c r="K63" s="93">
        <v>0</v>
      </c>
      <c r="L63" s="93">
        <v>0</v>
      </c>
      <c r="M63" s="93">
        <v>0</v>
      </c>
      <c r="N63" s="93">
        <v>0</v>
      </c>
    </row>
    <row r="64" spans="1:19" x14ac:dyDescent="0.25">
      <c r="D64" t="s">
        <v>167</v>
      </c>
      <c r="G64" s="79">
        <f>Input!H54</f>
        <v>0.2</v>
      </c>
      <c r="H64" s="1"/>
      <c r="I64" s="1"/>
      <c r="J64" s="40">
        <f>J63*G64</f>
        <v>2600000</v>
      </c>
      <c r="K64" s="40">
        <f>J64</f>
        <v>2600000</v>
      </c>
      <c r="L64" s="40">
        <f t="shared" ref="L64:N64" si="26">K64</f>
        <v>2600000</v>
      </c>
      <c r="M64" s="40">
        <f t="shared" si="26"/>
        <v>2600000</v>
      </c>
      <c r="N64" s="40">
        <f t="shared" si="26"/>
        <v>2600000</v>
      </c>
    </row>
    <row r="65" spans="1:14" s="57" customFormat="1" ht="15.75" thickBot="1" x14ac:dyDescent="0.3">
      <c r="A65" s="92"/>
      <c r="C65" s="57" t="s">
        <v>168</v>
      </c>
      <c r="G65" s="97"/>
      <c r="H65" s="91"/>
      <c r="I65" s="91"/>
      <c r="J65" s="91">
        <f>J62+J63-J64</f>
        <v>10400000</v>
      </c>
      <c r="K65" s="91">
        <f t="shared" ref="K65:N65" si="27">K62+K63-K64</f>
        <v>7800000</v>
      </c>
      <c r="L65" s="91">
        <f t="shared" si="27"/>
        <v>5200000</v>
      </c>
      <c r="M65" s="91">
        <f t="shared" si="27"/>
        <v>2600000</v>
      </c>
      <c r="N65" s="91">
        <f t="shared" si="27"/>
        <v>0</v>
      </c>
    </row>
    <row r="66" spans="1:14" ht="15.75" thickTop="1" x14ac:dyDescent="0.25">
      <c r="G66" s="2"/>
      <c r="H66" s="1"/>
      <c r="I66" s="1"/>
      <c r="J66" s="1"/>
      <c r="K66" s="1"/>
    </row>
    <row r="67" spans="1:14" s="11" customFormat="1" x14ac:dyDescent="0.25">
      <c r="A67" s="78">
        <v>8</v>
      </c>
      <c r="B67" s="47" t="s">
        <v>134</v>
      </c>
    </row>
    <row r="68" spans="1:14" x14ac:dyDescent="0.25">
      <c r="D68" t="s">
        <v>50</v>
      </c>
      <c r="J68" s="40">
        <f>Input!$H$58/Input!$H$6*Operation!J13</f>
        <v>3698630.1369863013</v>
      </c>
      <c r="K68" s="40">
        <f>Input!$H$58/Input!$H$6*Operation!K13</f>
        <v>3883561.6438356163</v>
      </c>
      <c r="L68" s="40">
        <f>Input!$H$58/Input!$H$6*Operation!L13</f>
        <v>4200071.9178082189</v>
      </c>
      <c r="M68" s="40">
        <f>Input!$H$58/Input!$H$6*Operation!M13</f>
        <v>4359863.01369863</v>
      </c>
      <c r="N68" s="40">
        <f>Input!$H$58/Input!$H$6*Operation!N13</f>
        <v>4490658.9041095898</v>
      </c>
    </row>
    <row r="69" spans="1:14" x14ac:dyDescent="0.25">
      <c r="D69" s="4" t="s">
        <v>52</v>
      </c>
      <c r="E69" s="4"/>
      <c r="F69" s="4"/>
      <c r="G69" s="4"/>
      <c r="J69" s="98">
        <f>I68-J68</f>
        <v>-3698630.1369863013</v>
      </c>
      <c r="K69" s="98">
        <f t="shared" ref="K69:N69" si="28">J68-K68</f>
        <v>-184931.50684931502</v>
      </c>
      <c r="L69" s="98">
        <f t="shared" si="28"/>
        <v>-316510.27397260256</v>
      </c>
      <c r="M69" s="98">
        <f t="shared" si="28"/>
        <v>-159791.09589041118</v>
      </c>
      <c r="N69" s="98">
        <f t="shared" si="28"/>
        <v>-130795.89041095972</v>
      </c>
    </row>
    <row r="70" spans="1:14" x14ac:dyDescent="0.25">
      <c r="D70" t="s">
        <v>19</v>
      </c>
      <c r="J70" s="40">
        <f>Input!$H$57/Input!$H$6*Operation!J22</f>
        <v>2810958.9041095888</v>
      </c>
      <c r="K70" s="40">
        <f>Input!$H$57/Input!$H$6*Operation!K22</f>
        <v>3040052.0547945206</v>
      </c>
      <c r="L70" s="40">
        <f>Input!$H$57/Input!$H$6*Operation!L22</f>
        <v>3287816.2972602742</v>
      </c>
      <c r="M70" s="40">
        <f>Input!$H$57/Input!$H$6*Operation!M22</f>
        <v>3412900.767123288</v>
      </c>
      <c r="N70" s="40">
        <f>Input!$H$57/Input!$H$6*Operation!N22</f>
        <v>3515287.7901369869</v>
      </c>
    </row>
    <row r="71" spans="1:14" x14ac:dyDescent="0.25">
      <c r="D71" s="4" t="s">
        <v>51</v>
      </c>
      <c r="E71" s="4"/>
      <c r="F71" s="4"/>
      <c r="G71" s="4"/>
      <c r="J71" s="98">
        <f>I70-J70</f>
        <v>-2810958.9041095888</v>
      </c>
      <c r="K71" s="98">
        <f t="shared" ref="K71" si="29">J70-K70</f>
        <v>-229093.15068493178</v>
      </c>
      <c r="L71" s="98">
        <f t="shared" ref="L71" si="30">K70-L70</f>
        <v>-247764.24246575357</v>
      </c>
      <c r="M71" s="98">
        <f t="shared" ref="M71" si="31">L70-M70</f>
        <v>-125084.46986301383</v>
      </c>
      <c r="N71" s="98">
        <f t="shared" ref="N71" si="32">M70-N70</f>
        <v>-102387.02301369887</v>
      </c>
    </row>
    <row r="72" spans="1:14" x14ac:dyDescent="0.25">
      <c r="D72" t="s">
        <v>37</v>
      </c>
      <c r="J72" s="40">
        <f>Input!$H$59/Input!$H$6*Operation!J22</f>
        <v>3935342.4657534244</v>
      </c>
      <c r="K72" s="40">
        <f>Input!$H$59/Input!$H$6*Operation!K22</f>
        <v>4256072.8767123288</v>
      </c>
      <c r="L72" s="40">
        <f>Input!$H$59/Input!$H$6*Operation!L22</f>
        <v>4602942.8161643837</v>
      </c>
      <c r="M72" s="40">
        <f>Input!$H$59/Input!$H$6*Operation!M22</f>
        <v>4778061.0739726033</v>
      </c>
      <c r="N72" s="40">
        <f>Input!$H$59/Input!$H$6*Operation!N22</f>
        <v>4921402.9061917821</v>
      </c>
    </row>
    <row r="73" spans="1:14" x14ac:dyDescent="0.25">
      <c r="D73" s="4" t="s">
        <v>52</v>
      </c>
      <c r="E73" s="4"/>
      <c r="F73" s="4"/>
      <c r="G73" s="4"/>
      <c r="J73" s="98">
        <f>J72-I72</f>
        <v>3935342.4657534244</v>
      </c>
      <c r="K73" s="98">
        <f t="shared" ref="K73:N73" si="33">K72-J72</f>
        <v>320730.41095890431</v>
      </c>
      <c r="L73" s="98">
        <f t="shared" si="33"/>
        <v>346869.93945205491</v>
      </c>
      <c r="M73" s="98">
        <f t="shared" si="33"/>
        <v>175118.25780821964</v>
      </c>
      <c r="N73" s="98">
        <f t="shared" si="33"/>
        <v>143341.83221917879</v>
      </c>
    </row>
    <row r="75" spans="1:14" s="11" customFormat="1" x14ac:dyDescent="0.25">
      <c r="A75" s="78">
        <v>9</v>
      </c>
      <c r="B75" s="47" t="s">
        <v>186</v>
      </c>
      <c r="G75" s="108">
        <v>0.32</v>
      </c>
    </row>
    <row r="76" spans="1:14" x14ac:dyDescent="0.25">
      <c r="D76" s="30" t="s">
        <v>187</v>
      </c>
      <c r="J76" s="41">
        <f>FS!I21</f>
        <v>2214000</v>
      </c>
      <c r="K76" s="41">
        <f>FS!J21</f>
        <v>2446700</v>
      </c>
      <c r="L76" s="41">
        <f>FS!K21</f>
        <v>4373285.049999997</v>
      </c>
      <c r="M76" s="41">
        <f>FS!L21</f>
        <v>5504374</v>
      </c>
      <c r="N76" s="41">
        <f>FS!M21</f>
        <v>6488285.2199999988</v>
      </c>
    </row>
    <row r="77" spans="1:14" s="57" customFormat="1" ht="15.75" thickBot="1" x14ac:dyDescent="0.3">
      <c r="A77" s="92"/>
      <c r="D77" s="99" t="s">
        <v>188</v>
      </c>
      <c r="J77" s="77">
        <f>J76*$G$75</f>
        <v>708480</v>
      </c>
      <c r="K77" s="77">
        <f t="shared" ref="K77:N77" si="34">K76*$G$75</f>
        <v>782944</v>
      </c>
      <c r="L77" s="77">
        <f t="shared" si="34"/>
        <v>1399451.2159999991</v>
      </c>
      <c r="M77" s="77">
        <f t="shared" si="34"/>
        <v>1761399.68</v>
      </c>
      <c r="N77" s="77">
        <f t="shared" si="34"/>
        <v>2076251.2703999996</v>
      </c>
    </row>
    <row r="78" spans="1:14" ht="15.75" thickTop="1" x14ac:dyDescent="0.25"/>
    <row r="79" spans="1:14" s="11" customFormat="1" x14ac:dyDescent="0.25">
      <c r="A79" s="78">
        <v>10</v>
      </c>
      <c r="B79" s="47" t="s">
        <v>189</v>
      </c>
      <c r="G79" s="108">
        <v>0.15</v>
      </c>
    </row>
    <row r="80" spans="1:14" x14ac:dyDescent="0.25">
      <c r="D80" t="s">
        <v>190</v>
      </c>
      <c r="J80" s="41">
        <f>FS!I23</f>
        <v>1505520</v>
      </c>
      <c r="K80" s="41">
        <f>FS!J23</f>
        <v>1663756</v>
      </c>
      <c r="L80" s="41">
        <f>FS!K23</f>
        <v>2973833.8339999979</v>
      </c>
      <c r="M80" s="41">
        <f>FS!L23</f>
        <v>3742974.3200000003</v>
      </c>
      <c r="N80" s="41">
        <f>FS!M23</f>
        <v>4412033.949599999</v>
      </c>
    </row>
    <row r="81" spans="1:14" s="57" customFormat="1" ht="15.75" thickBot="1" x14ac:dyDescent="0.3">
      <c r="A81" s="92"/>
      <c r="D81" s="57" t="s">
        <v>33</v>
      </c>
      <c r="J81" s="69">
        <f>J80*$G$79</f>
        <v>225828</v>
      </c>
      <c r="K81" s="69">
        <f t="shared" ref="K81:N81" si="35">K80*$G$79</f>
        <v>249563.4</v>
      </c>
      <c r="L81" s="69">
        <f t="shared" si="35"/>
        <v>446075.07509999967</v>
      </c>
      <c r="M81" s="69">
        <f t="shared" si="35"/>
        <v>561446.14800000004</v>
      </c>
      <c r="N81" s="69">
        <f t="shared" si="35"/>
        <v>661805.0924399998</v>
      </c>
    </row>
    <row r="82" spans="1:14" ht="15.75" thickTop="1" x14ac:dyDescent="0.2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3E38-436B-4445-B2C3-D5C29EAFF009}">
  <sheetPr>
    <tabColor rgb="FFFFFF00"/>
  </sheetPr>
  <dimension ref="A1:M4"/>
  <sheetViews>
    <sheetView showGridLines="0" workbookViewId="0">
      <pane xSplit="6" ySplit="4" topLeftCell="G5" activePane="bottomRight" state="frozen"/>
      <selection activeCell="G27" sqref="G27"/>
      <selection pane="topRight" activeCell="G27" sqref="G27"/>
      <selection pane="bottomLeft" activeCell="G27" sqref="G27"/>
      <selection pane="bottomRight" activeCell="G27" sqref="G27"/>
    </sheetView>
  </sheetViews>
  <sheetFormatPr defaultRowHeight="15" x14ac:dyDescent="0.25"/>
  <cols>
    <col min="1" max="3" width="2.5703125" customWidth="1"/>
    <col min="4" max="4" width="33" customWidth="1"/>
    <col min="6" max="7" width="2.7109375" customWidth="1"/>
    <col min="8" max="8" width="12.42578125" bestFit="1" customWidth="1"/>
    <col min="9" max="13" width="15.5703125" customWidth="1"/>
  </cols>
  <sheetData>
    <row r="1" spans="1:13" x14ac:dyDescent="0.25">
      <c r="A1" s="36" t="str">
        <f>coyname</f>
        <v xml:space="preserve">ABC BOTTLE WATER </v>
      </c>
      <c r="B1" s="36"/>
      <c r="C1" s="36"/>
      <c r="D1" s="36"/>
      <c r="E1" s="36"/>
      <c r="F1" s="36"/>
      <c r="G1" s="36"/>
      <c r="H1" s="36" t="s">
        <v>77</v>
      </c>
      <c r="I1" s="37">
        <f>'Cover page'!I14</f>
        <v>2025</v>
      </c>
      <c r="J1" s="37">
        <f t="shared" ref="J1:M1" si="0">I1+1</f>
        <v>2026</v>
      </c>
      <c r="K1" s="37">
        <f t="shared" si="0"/>
        <v>2027</v>
      </c>
      <c r="L1" s="37">
        <f t="shared" si="0"/>
        <v>2028</v>
      </c>
      <c r="M1" s="37">
        <f t="shared" si="0"/>
        <v>2029</v>
      </c>
    </row>
    <row r="2" spans="1:13" x14ac:dyDescent="0.25">
      <c r="A2" s="36" t="s">
        <v>76</v>
      </c>
      <c r="B2" s="36"/>
      <c r="C2" s="36"/>
      <c r="D2" s="36"/>
      <c r="E2" s="36"/>
      <c r="F2" s="36"/>
      <c r="G2" s="36"/>
      <c r="H2" s="36" t="s">
        <v>78</v>
      </c>
      <c r="I2" s="38">
        <f>'Cover page'!I16</f>
        <v>45658</v>
      </c>
      <c r="J2" s="38">
        <f t="shared" ref="J2:M2" si="1">EDATE(I2,12)</f>
        <v>46023</v>
      </c>
      <c r="K2" s="38">
        <f t="shared" si="1"/>
        <v>46388</v>
      </c>
      <c r="L2" s="38">
        <f t="shared" si="1"/>
        <v>46753</v>
      </c>
      <c r="M2" s="38">
        <f t="shared" si="1"/>
        <v>47119</v>
      </c>
    </row>
    <row r="3" spans="1:13" x14ac:dyDescent="0.25">
      <c r="A3" s="36" t="s">
        <v>194</v>
      </c>
      <c r="B3" s="36"/>
      <c r="C3" s="36"/>
      <c r="D3" s="36"/>
      <c r="E3" s="36"/>
      <c r="F3" s="36"/>
      <c r="G3" s="36"/>
      <c r="H3" s="36" t="s">
        <v>79</v>
      </c>
      <c r="I3" s="38">
        <f t="shared" ref="I3:M3" si="2">DATE(I1,12,31)</f>
        <v>46022</v>
      </c>
      <c r="J3" s="38">
        <f t="shared" si="2"/>
        <v>46387</v>
      </c>
      <c r="K3" s="38">
        <f t="shared" si="2"/>
        <v>46752</v>
      </c>
      <c r="L3" s="38">
        <f t="shared" si="2"/>
        <v>47118</v>
      </c>
      <c r="M3" s="38">
        <f t="shared" si="2"/>
        <v>47483</v>
      </c>
    </row>
    <row r="4" spans="1:13" x14ac:dyDescent="0.25">
      <c r="A4" s="36"/>
      <c r="B4" s="36"/>
      <c r="C4" s="36"/>
      <c r="D4" s="36"/>
      <c r="E4" s="36"/>
      <c r="F4" s="36"/>
      <c r="G4" s="36"/>
      <c r="H4" s="36" t="s">
        <v>80</v>
      </c>
      <c r="I4" s="55">
        <v>1</v>
      </c>
      <c r="J4" s="55">
        <f>I4+1</f>
        <v>2</v>
      </c>
      <c r="K4" s="55">
        <f t="shared" ref="K4:M4" si="3">J4+1</f>
        <v>3</v>
      </c>
      <c r="L4" s="55">
        <f t="shared" si="3"/>
        <v>4</v>
      </c>
      <c r="M4" s="55">
        <f t="shared" si="3"/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B85E-504E-4D38-BFD0-9C4FA7BA4755}">
  <sheetPr>
    <tabColor rgb="FFFFFF00"/>
  </sheetPr>
  <dimension ref="A1:N14"/>
  <sheetViews>
    <sheetView showGridLines="0" tabSelected="1" workbookViewId="0">
      <pane xSplit="7" ySplit="4" topLeftCell="H5" activePane="bottomRight" state="frozen"/>
      <selection activeCell="G27" sqref="G27"/>
      <selection pane="topRight" activeCell="G27" sqref="G27"/>
      <selection pane="bottomLeft" activeCell="G27" sqref="G27"/>
      <selection pane="bottomRight" activeCell="J13" sqref="J13"/>
    </sheetView>
  </sheetViews>
  <sheetFormatPr defaultColWidth="0" defaultRowHeight="15" x14ac:dyDescent="0.25"/>
  <cols>
    <col min="1" max="3" width="2.5703125" customWidth="1"/>
    <col min="4" max="4" width="33" customWidth="1"/>
    <col min="5" max="5" width="11.28515625" customWidth="1"/>
    <col min="6" max="6" width="18.28515625" customWidth="1"/>
    <col min="7" max="8" width="2.7109375" customWidth="1"/>
    <col min="9" max="9" width="12.42578125" bestFit="1" customWidth="1"/>
    <col min="10" max="14" width="15.5703125" customWidth="1"/>
    <col min="15" max="16384" width="9.140625" hidden="1"/>
  </cols>
  <sheetData>
    <row r="1" spans="1:14" x14ac:dyDescent="0.25">
      <c r="A1" s="36" t="str">
        <f>coyname</f>
        <v xml:space="preserve">ABC BOTTLE WATER </v>
      </c>
      <c r="B1" s="36"/>
      <c r="C1" s="36"/>
      <c r="D1" s="36"/>
      <c r="E1" s="36"/>
      <c r="F1" s="36"/>
      <c r="G1" s="36"/>
      <c r="H1" s="36"/>
      <c r="I1" s="36" t="s">
        <v>77</v>
      </c>
      <c r="J1" s="37">
        <f>'Cover page'!I14</f>
        <v>2025</v>
      </c>
      <c r="K1" s="37">
        <f t="shared" ref="K1:N1" si="0">J1+1</f>
        <v>2026</v>
      </c>
      <c r="L1" s="37">
        <f t="shared" si="0"/>
        <v>2027</v>
      </c>
      <c r="M1" s="37">
        <f t="shared" si="0"/>
        <v>2028</v>
      </c>
      <c r="N1" s="37">
        <f t="shared" si="0"/>
        <v>2029</v>
      </c>
    </row>
    <row r="2" spans="1:14" x14ac:dyDescent="0.25">
      <c r="A2" s="36" t="s">
        <v>76</v>
      </c>
      <c r="B2" s="36"/>
      <c r="C2" s="36"/>
      <c r="D2" s="36"/>
      <c r="E2" s="36"/>
      <c r="F2" s="36"/>
      <c r="G2" s="36"/>
      <c r="H2" s="36"/>
      <c r="I2" s="36" t="s">
        <v>78</v>
      </c>
      <c r="J2" s="38">
        <f>'Cover page'!I16</f>
        <v>45658</v>
      </c>
      <c r="K2" s="38">
        <f t="shared" ref="K2:N2" si="1">EDATE(J2,12)</f>
        <v>46023</v>
      </c>
      <c r="L2" s="38">
        <f t="shared" si="1"/>
        <v>46388</v>
      </c>
      <c r="M2" s="38">
        <f t="shared" si="1"/>
        <v>46753</v>
      </c>
      <c r="N2" s="38">
        <f t="shared" si="1"/>
        <v>47119</v>
      </c>
    </row>
    <row r="3" spans="1:14" x14ac:dyDescent="0.25">
      <c r="A3" s="36" t="s">
        <v>194</v>
      </c>
      <c r="B3" s="36"/>
      <c r="C3" s="36"/>
      <c r="D3" s="36"/>
      <c r="E3" s="36"/>
      <c r="F3" s="36"/>
      <c r="G3" s="36"/>
      <c r="H3" s="36"/>
      <c r="I3" s="36" t="s">
        <v>79</v>
      </c>
      <c r="J3" s="38">
        <f t="shared" ref="J3:N3" si="2">DATE(J1,12,31)</f>
        <v>46022</v>
      </c>
      <c r="K3" s="38">
        <f t="shared" si="2"/>
        <v>46387</v>
      </c>
      <c r="L3" s="38">
        <f t="shared" si="2"/>
        <v>46752</v>
      </c>
      <c r="M3" s="38">
        <f t="shared" si="2"/>
        <v>47118</v>
      </c>
      <c r="N3" s="38">
        <f t="shared" si="2"/>
        <v>47483</v>
      </c>
    </row>
    <row r="4" spans="1:14" x14ac:dyDescent="0.25">
      <c r="A4" s="36"/>
      <c r="B4" s="36"/>
      <c r="C4" s="36"/>
      <c r="D4" s="36"/>
      <c r="E4" s="36"/>
      <c r="F4" s="36"/>
      <c r="G4" s="36"/>
      <c r="H4" s="36"/>
      <c r="I4" s="36" t="s">
        <v>80</v>
      </c>
      <c r="J4" s="55">
        <v>1</v>
      </c>
      <c r="K4" s="55">
        <f>J4+1</f>
        <v>2</v>
      </c>
      <c r="L4" s="55">
        <f t="shared" ref="L4:N4" si="3">K4+1</f>
        <v>3</v>
      </c>
      <c r="M4" s="55">
        <f t="shared" si="3"/>
        <v>4</v>
      </c>
      <c r="N4" s="55">
        <f t="shared" si="3"/>
        <v>5</v>
      </c>
    </row>
    <row r="6" spans="1:14" s="42" customFormat="1" x14ac:dyDescent="0.25">
      <c r="B6" s="42" t="s">
        <v>195</v>
      </c>
    </row>
    <row r="7" spans="1:14" x14ac:dyDescent="0.25">
      <c r="B7" s="3" t="s">
        <v>196</v>
      </c>
    </row>
    <row r="9" spans="1:14" x14ac:dyDescent="0.25">
      <c r="D9" s="116" t="s">
        <v>197</v>
      </c>
      <c r="E9" s="113" t="s">
        <v>174</v>
      </c>
      <c r="F9" s="114" t="s">
        <v>14</v>
      </c>
      <c r="G9" s="114"/>
      <c r="J9" s="117">
        <f>FS!I23</f>
        <v>1505520</v>
      </c>
      <c r="K9" s="117">
        <f>FS!J23</f>
        <v>1663756</v>
      </c>
      <c r="L9" s="117">
        <f>FS!K23</f>
        <v>2973833.8339999979</v>
      </c>
      <c r="M9" s="117">
        <f>FS!L23</f>
        <v>3742974.3200000003</v>
      </c>
      <c r="N9" s="117">
        <f>FS!M23</f>
        <v>4412033.949599999</v>
      </c>
    </row>
    <row r="10" spans="1:14" x14ac:dyDescent="0.25">
      <c r="D10" s="112"/>
      <c r="E10" s="115"/>
      <c r="F10" s="115" t="s">
        <v>24</v>
      </c>
      <c r="G10" s="115"/>
      <c r="J10" s="70">
        <f>FS!I49+FS!I50</f>
        <v>8279692</v>
      </c>
      <c r="K10" s="70">
        <f>FS!J49+FS!J50</f>
        <v>9693884.5999999996</v>
      </c>
      <c r="L10" s="70">
        <f>FS!K49+FS!K50</f>
        <v>12221643.358899999</v>
      </c>
      <c r="M10" s="70">
        <f>FS!L49+FS!L50</f>
        <v>15403171.5309</v>
      </c>
      <c r="N10" s="70">
        <f>FS!M49+FS!M50</f>
        <v>19153400.388059996</v>
      </c>
    </row>
    <row r="11" spans="1:14" x14ac:dyDescent="0.25">
      <c r="J11" s="118">
        <f>J9/J10</f>
        <v>0.18183285078720318</v>
      </c>
      <c r="K11" s="118">
        <f t="shared" ref="K11:N11" si="4">K9/K10</f>
        <v>0.1716294415140861</v>
      </c>
      <c r="L11" s="118">
        <f t="shared" si="4"/>
        <v>0.24332520158464646</v>
      </c>
      <c r="M11" s="118">
        <f t="shared" si="4"/>
        <v>0.24300023618456063</v>
      </c>
      <c r="N11" s="118">
        <f t="shared" si="4"/>
        <v>0.23035251496911269</v>
      </c>
    </row>
    <row r="13" spans="1:14" x14ac:dyDescent="0.25">
      <c r="D13" s="112" t="s">
        <v>198</v>
      </c>
      <c r="E13" s="113" t="s">
        <v>174</v>
      </c>
      <c r="F13" s="114" t="s">
        <v>14</v>
      </c>
    </row>
    <row r="14" spans="1:14" x14ac:dyDescent="0.25">
      <c r="D14" s="112"/>
      <c r="E14" s="115"/>
      <c r="F14" s="115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M4"/>
  <sheetViews>
    <sheetView showGridLines="0" workbookViewId="0">
      <pane xSplit="6" ySplit="4" topLeftCell="G5" activePane="bottomRight" state="frozen"/>
      <selection activeCell="K24" sqref="K24"/>
      <selection pane="topRight" activeCell="K24" sqref="K24"/>
      <selection pane="bottomLeft" activeCell="K24" sqref="K24"/>
      <selection pane="bottomRight" activeCell="J10" sqref="J10"/>
    </sheetView>
  </sheetViews>
  <sheetFormatPr defaultRowHeight="15" x14ac:dyDescent="0.25"/>
  <cols>
    <col min="1" max="3" width="2.5703125" customWidth="1"/>
    <col min="4" max="4" width="33" customWidth="1"/>
    <col min="6" max="7" width="2.7109375" customWidth="1"/>
    <col min="8" max="8" width="12.42578125" bestFit="1" customWidth="1"/>
    <col min="9" max="13" width="20.42578125" customWidth="1"/>
  </cols>
  <sheetData>
    <row r="1" spans="1:13" x14ac:dyDescent="0.25">
      <c r="A1" s="36" t="str">
        <f>coyname</f>
        <v xml:space="preserve">ABC BOTTLE WATER </v>
      </c>
      <c r="B1" s="36"/>
      <c r="C1" s="36"/>
      <c r="D1" s="36"/>
      <c r="E1" s="36"/>
      <c r="F1" s="36"/>
      <c r="G1" s="36"/>
      <c r="H1" s="36" t="s">
        <v>77</v>
      </c>
      <c r="I1" s="37">
        <f>'Cover page'!I14</f>
        <v>2025</v>
      </c>
      <c r="J1" s="37">
        <f t="shared" ref="J1:M1" si="0">I1+1</f>
        <v>2026</v>
      </c>
      <c r="K1" s="37">
        <f t="shared" si="0"/>
        <v>2027</v>
      </c>
      <c r="L1" s="37">
        <f t="shared" si="0"/>
        <v>2028</v>
      </c>
      <c r="M1" s="37">
        <f t="shared" si="0"/>
        <v>2029</v>
      </c>
    </row>
    <row r="2" spans="1:13" x14ac:dyDescent="0.25">
      <c r="A2" s="36" t="s">
        <v>76</v>
      </c>
      <c r="B2" s="36"/>
      <c r="C2" s="36"/>
      <c r="D2" s="36"/>
      <c r="E2" s="36"/>
      <c r="F2" s="36"/>
      <c r="G2" s="36"/>
      <c r="H2" s="36" t="s">
        <v>78</v>
      </c>
      <c r="I2" s="38">
        <f>'Cover page'!I16</f>
        <v>45658</v>
      </c>
      <c r="J2" s="38">
        <f t="shared" ref="J2:M2" si="1">EDATE(I2,12)</f>
        <v>46023</v>
      </c>
      <c r="K2" s="38">
        <f t="shared" si="1"/>
        <v>46388</v>
      </c>
      <c r="L2" s="38">
        <f t="shared" si="1"/>
        <v>46753</v>
      </c>
      <c r="M2" s="38">
        <f t="shared" si="1"/>
        <v>47119</v>
      </c>
    </row>
    <row r="3" spans="1:13" x14ac:dyDescent="0.25">
      <c r="A3" s="36" t="s">
        <v>194</v>
      </c>
      <c r="B3" s="36"/>
      <c r="C3" s="36"/>
      <c r="D3" s="36"/>
      <c r="E3" s="36"/>
      <c r="F3" s="36"/>
      <c r="G3" s="36"/>
      <c r="H3" s="36" t="s">
        <v>79</v>
      </c>
      <c r="I3" s="38">
        <f t="shared" ref="I3:M3" si="2">DATE(I1,12,31)</f>
        <v>46022</v>
      </c>
      <c r="J3" s="38">
        <f t="shared" si="2"/>
        <v>46387</v>
      </c>
      <c r="K3" s="38">
        <f t="shared" si="2"/>
        <v>46752</v>
      </c>
      <c r="L3" s="38">
        <f t="shared" si="2"/>
        <v>47118</v>
      </c>
      <c r="M3" s="38">
        <f t="shared" si="2"/>
        <v>47483</v>
      </c>
    </row>
    <row r="4" spans="1:13" x14ac:dyDescent="0.25">
      <c r="A4" s="36"/>
      <c r="B4" s="36"/>
      <c r="C4" s="36"/>
      <c r="D4" s="36"/>
      <c r="E4" s="36"/>
      <c r="F4" s="36"/>
      <c r="G4" s="36"/>
      <c r="H4" s="36" t="s">
        <v>80</v>
      </c>
      <c r="I4" s="55">
        <v>1</v>
      </c>
      <c r="J4" s="55">
        <f>I4+1</f>
        <v>2</v>
      </c>
      <c r="K4" s="55">
        <f t="shared" ref="K4:M4" si="3">J4+1</f>
        <v>3</v>
      </c>
      <c r="L4" s="55">
        <f t="shared" si="3"/>
        <v>4</v>
      </c>
      <c r="M4" s="55">
        <f t="shared" si="3"/>
        <v>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0"/>
  <sheetViews>
    <sheetView showGridLines="0" zoomScale="80" zoomScaleNormal="80" workbookViewId="0">
      <pane xSplit="6" ySplit="4" topLeftCell="G5" activePane="bottomRight" state="frozen"/>
      <selection activeCell="G27" sqref="G27"/>
      <selection pane="topRight" activeCell="G27" sqref="G27"/>
      <selection pane="bottomLeft" activeCell="G27" sqref="G27"/>
      <selection pane="bottomRight" activeCell="G27" sqref="G27"/>
    </sheetView>
  </sheetViews>
  <sheetFormatPr defaultColWidth="0" defaultRowHeight="15" x14ac:dyDescent="0.25"/>
  <cols>
    <col min="1" max="3" width="2.5703125" customWidth="1"/>
    <col min="4" max="4" width="33" customWidth="1"/>
    <col min="5" max="5" width="12.7109375" customWidth="1"/>
    <col min="6" max="6" width="6.5703125" customWidth="1"/>
    <col min="7" max="7" width="4.140625" customWidth="1"/>
    <col min="8" max="8" width="12.42578125" bestFit="1" customWidth="1"/>
    <col min="9" max="13" width="14.7109375" customWidth="1"/>
    <col min="14" max="16384" width="9.140625" hidden="1"/>
  </cols>
  <sheetData>
    <row r="1" spans="1:13" x14ac:dyDescent="0.25">
      <c r="A1" s="36" t="str">
        <f>coyname</f>
        <v xml:space="preserve">ABC BOTTLE WATER </v>
      </c>
      <c r="B1" s="36"/>
      <c r="C1" s="36"/>
      <c r="D1" s="36"/>
      <c r="E1" s="36"/>
      <c r="F1" s="36"/>
      <c r="G1" s="36"/>
      <c r="H1" s="36" t="s">
        <v>77</v>
      </c>
      <c r="I1" s="37">
        <f>'Cover page'!I14</f>
        <v>2025</v>
      </c>
      <c r="J1" s="37">
        <f t="shared" ref="J1:M1" si="0">I1+1</f>
        <v>2026</v>
      </c>
      <c r="K1" s="37">
        <f t="shared" si="0"/>
        <v>2027</v>
      </c>
      <c r="L1" s="37">
        <f t="shared" si="0"/>
        <v>2028</v>
      </c>
      <c r="M1" s="37">
        <f t="shared" si="0"/>
        <v>2029</v>
      </c>
    </row>
    <row r="2" spans="1:13" x14ac:dyDescent="0.25">
      <c r="A2" s="36" t="s">
        <v>76</v>
      </c>
      <c r="B2" s="36"/>
      <c r="C2" s="36"/>
      <c r="D2" s="36"/>
      <c r="E2" s="36"/>
      <c r="F2" s="36"/>
      <c r="G2" s="36"/>
      <c r="H2" s="36" t="s">
        <v>78</v>
      </c>
      <c r="I2" s="38">
        <f>'Cover page'!I16</f>
        <v>45658</v>
      </c>
      <c r="J2" s="38">
        <f t="shared" ref="J2:M2" si="1">EDATE(I2,12)</f>
        <v>46023</v>
      </c>
      <c r="K2" s="38">
        <f t="shared" si="1"/>
        <v>46388</v>
      </c>
      <c r="L2" s="38">
        <f t="shared" si="1"/>
        <v>46753</v>
      </c>
      <c r="M2" s="38">
        <f t="shared" si="1"/>
        <v>47119</v>
      </c>
    </row>
    <row r="3" spans="1:13" x14ac:dyDescent="0.25">
      <c r="A3" s="36" t="s">
        <v>194</v>
      </c>
      <c r="B3" s="36"/>
      <c r="C3" s="36"/>
      <c r="D3" s="36"/>
      <c r="E3" s="36"/>
      <c r="F3" s="36"/>
      <c r="G3" s="36"/>
      <c r="H3" s="36" t="s">
        <v>79</v>
      </c>
      <c r="I3" s="38">
        <f t="shared" ref="I3:M3" si="2">DATE(I1,12,31)</f>
        <v>46022</v>
      </c>
      <c r="J3" s="38">
        <f t="shared" si="2"/>
        <v>46387</v>
      </c>
      <c r="K3" s="38">
        <f t="shared" si="2"/>
        <v>46752</v>
      </c>
      <c r="L3" s="38">
        <f t="shared" si="2"/>
        <v>47118</v>
      </c>
      <c r="M3" s="38">
        <f t="shared" si="2"/>
        <v>47483</v>
      </c>
    </row>
    <row r="4" spans="1:13" x14ac:dyDescent="0.25">
      <c r="A4" s="36"/>
      <c r="B4" s="36"/>
      <c r="C4" s="36"/>
      <c r="D4" s="36"/>
      <c r="E4" s="36"/>
      <c r="F4" s="36"/>
      <c r="G4" s="36"/>
      <c r="H4" s="36" t="s">
        <v>80</v>
      </c>
      <c r="I4" s="55">
        <v>1</v>
      </c>
      <c r="J4" s="55">
        <f>I4+1</f>
        <v>2</v>
      </c>
      <c r="K4" s="55">
        <f t="shared" ref="K4:M4" si="3">J4+1</f>
        <v>3</v>
      </c>
      <c r="L4" s="55">
        <f t="shared" si="3"/>
        <v>4</v>
      </c>
      <c r="M4" s="55">
        <f t="shared" si="3"/>
        <v>5</v>
      </c>
    </row>
    <row r="5" spans="1:13" x14ac:dyDescent="0.25">
      <c r="A5" s="47" t="s">
        <v>38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25">
      <c r="B6" t="s">
        <v>39</v>
      </c>
      <c r="H6" s="72">
        <v>365</v>
      </c>
    </row>
    <row r="7" spans="1:13" x14ac:dyDescent="0.25">
      <c r="B7" t="s">
        <v>40</v>
      </c>
      <c r="H7" s="73">
        <v>12</v>
      </c>
    </row>
    <row r="8" spans="1:13" x14ac:dyDescent="0.25">
      <c r="B8" t="s">
        <v>154</v>
      </c>
      <c r="H8" s="74">
        <v>52</v>
      </c>
    </row>
    <row r="9" spans="1:13" x14ac:dyDescent="0.25">
      <c r="B9" t="s">
        <v>97</v>
      </c>
      <c r="H9" s="59">
        <v>0.03</v>
      </c>
    </row>
    <row r="11" spans="1:13" x14ac:dyDescent="0.25">
      <c r="A11" s="47" t="s">
        <v>100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x14ac:dyDescent="0.25">
      <c r="B12" t="s">
        <v>98</v>
      </c>
      <c r="H12" s="58">
        <v>3000</v>
      </c>
    </row>
    <row r="13" spans="1:13" x14ac:dyDescent="0.25">
      <c r="B13" s="3" t="s">
        <v>99</v>
      </c>
      <c r="H13" s="1"/>
      <c r="I13" s="1"/>
      <c r="J13" s="1"/>
    </row>
    <row r="14" spans="1:13" x14ac:dyDescent="0.25">
      <c r="C14" t="s">
        <v>101</v>
      </c>
      <c r="H14" s="39">
        <v>1000</v>
      </c>
      <c r="I14" s="1"/>
      <c r="J14" s="1"/>
    </row>
    <row r="15" spans="1:13" x14ac:dyDescent="0.25">
      <c r="C15" t="s">
        <v>102</v>
      </c>
      <c r="H15" s="39">
        <v>500</v>
      </c>
      <c r="I15" s="1"/>
      <c r="J15" s="1"/>
    </row>
    <row r="16" spans="1:13" x14ac:dyDescent="0.25">
      <c r="C16" t="s">
        <v>103</v>
      </c>
      <c r="H16" s="39">
        <v>400</v>
      </c>
      <c r="I16" s="1"/>
      <c r="J16" s="1"/>
    </row>
    <row r="17" spans="1:13" x14ac:dyDescent="0.25">
      <c r="I17" s="1"/>
      <c r="J17" s="1"/>
    </row>
    <row r="18" spans="1:13" x14ac:dyDescent="0.25">
      <c r="A18" s="47" t="s">
        <v>104</v>
      </c>
      <c r="B18" s="11"/>
      <c r="C18" s="11"/>
      <c r="D18" s="11"/>
      <c r="E18" s="11"/>
      <c r="F18" s="11"/>
      <c r="G18" s="11"/>
      <c r="H18" s="60"/>
      <c r="I18" s="60"/>
      <c r="J18" s="60"/>
      <c r="K18" s="11"/>
      <c r="L18" s="11"/>
      <c r="M18" s="11"/>
    </row>
    <row r="19" spans="1:13" x14ac:dyDescent="0.25">
      <c r="B19" t="s">
        <v>105</v>
      </c>
      <c r="H19" s="58">
        <v>20000</v>
      </c>
      <c r="I19" s="1"/>
      <c r="J19" s="1"/>
    </row>
    <row r="20" spans="1:13" x14ac:dyDescent="0.25">
      <c r="B20" t="s">
        <v>106</v>
      </c>
      <c r="H20" s="39">
        <v>18000</v>
      </c>
    </row>
    <row r="21" spans="1:13" x14ac:dyDescent="0.25">
      <c r="B21" t="s">
        <v>36</v>
      </c>
      <c r="H21" s="59">
        <v>0.05</v>
      </c>
    </row>
    <row r="23" spans="1:13" x14ac:dyDescent="0.25">
      <c r="A23" s="47" t="s">
        <v>107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x14ac:dyDescent="0.25">
      <c r="B24" t="s">
        <v>108</v>
      </c>
      <c r="E24" t="s">
        <v>139</v>
      </c>
      <c r="H24" s="39">
        <v>30000</v>
      </c>
      <c r="I24" s="1"/>
      <c r="J24" s="1"/>
    </row>
    <row r="25" spans="1:13" x14ac:dyDescent="0.25">
      <c r="B25" t="s">
        <v>109</v>
      </c>
      <c r="E25" t="s">
        <v>139</v>
      </c>
      <c r="H25" s="39">
        <v>50000</v>
      </c>
      <c r="I25" s="1"/>
      <c r="J25" s="1"/>
    </row>
    <row r="26" spans="1:13" x14ac:dyDescent="0.25">
      <c r="B26" t="s">
        <v>110</v>
      </c>
      <c r="E26" t="s">
        <v>111</v>
      </c>
      <c r="H26" s="39">
        <v>60000</v>
      </c>
      <c r="I26" s="1"/>
      <c r="J26" s="1"/>
    </row>
    <row r="27" spans="1:13" x14ac:dyDescent="0.25">
      <c r="B27" t="s">
        <v>112</v>
      </c>
      <c r="E27" t="s">
        <v>111</v>
      </c>
      <c r="H27" s="39">
        <v>30000</v>
      </c>
      <c r="I27" s="1"/>
      <c r="J27" s="1"/>
    </row>
    <row r="28" spans="1:13" x14ac:dyDescent="0.25">
      <c r="B28" t="s">
        <v>113</v>
      </c>
      <c r="E28" t="s">
        <v>139</v>
      </c>
      <c r="H28" s="39">
        <v>90000</v>
      </c>
      <c r="L28" t="s">
        <v>35</v>
      </c>
    </row>
    <row r="29" spans="1:13" x14ac:dyDescent="0.25">
      <c r="B29" t="s">
        <v>114</v>
      </c>
      <c r="E29" t="s">
        <v>139</v>
      </c>
      <c r="H29" s="39">
        <v>40000</v>
      </c>
    </row>
    <row r="30" spans="1:13" x14ac:dyDescent="0.25">
      <c r="B30" s="3" t="s">
        <v>115</v>
      </c>
    </row>
    <row r="31" spans="1:13" x14ac:dyDescent="0.25">
      <c r="C31" t="s">
        <v>116</v>
      </c>
      <c r="E31" t="s">
        <v>139</v>
      </c>
      <c r="H31" s="39">
        <v>180000</v>
      </c>
    </row>
    <row r="32" spans="1:13" x14ac:dyDescent="0.25">
      <c r="C32" t="s">
        <v>117</v>
      </c>
      <c r="E32" t="s">
        <v>139</v>
      </c>
      <c r="H32" s="39">
        <v>130000</v>
      </c>
    </row>
    <row r="33" spans="1:13" x14ac:dyDescent="0.25">
      <c r="C33" t="s">
        <v>118</v>
      </c>
      <c r="E33" t="s">
        <v>139</v>
      </c>
      <c r="H33" s="39">
        <v>50000</v>
      </c>
    </row>
    <row r="34" spans="1:13" x14ac:dyDescent="0.25">
      <c r="C34" t="s">
        <v>119</v>
      </c>
      <c r="E34" t="s">
        <v>139</v>
      </c>
      <c r="H34" s="39">
        <v>20000</v>
      </c>
    </row>
    <row r="35" spans="1:13" x14ac:dyDescent="0.25">
      <c r="C35" t="s">
        <v>153</v>
      </c>
      <c r="E35" t="s">
        <v>139</v>
      </c>
      <c r="H35" s="39">
        <v>65000</v>
      </c>
    </row>
    <row r="36" spans="1:13" x14ac:dyDescent="0.25">
      <c r="C36" t="s">
        <v>120</v>
      </c>
      <c r="E36" t="s">
        <v>121</v>
      </c>
      <c r="H36" s="39">
        <v>1500</v>
      </c>
    </row>
    <row r="37" spans="1:13" x14ac:dyDescent="0.25">
      <c r="J37" t="s">
        <v>35</v>
      </c>
    </row>
    <row r="38" spans="1:13" x14ac:dyDescent="0.25">
      <c r="A38" s="47" t="s">
        <v>122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x14ac:dyDescent="0.25">
      <c r="B39" s="61" t="s">
        <v>123</v>
      </c>
    </row>
    <row r="40" spans="1:13" x14ac:dyDescent="0.25">
      <c r="C40" t="s">
        <v>124</v>
      </c>
      <c r="H40" s="39">
        <v>8000000</v>
      </c>
    </row>
    <row r="41" spans="1:13" x14ac:dyDescent="0.25">
      <c r="C41" t="s">
        <v>24</v>
      </c>
      <c r="H41" s="39">
        <v>3000000</v>
      </c>
    </row>
    <row r="42" spans="1:13" x14ac:dyDescent="0.25">
      <c r="C42" t="s">
        <v>125</v>
      </c>
      <c r="H42" s="39">
        <v>4000000</v>
      </c>
    </row>
    <row r="43" spans="1:13" x14ac:dyDescent="0.25">
      <c r="C43" t="s">
        <v>126</v>
      </c>
      <c r="H43" s="62">
        <v>3.5000000000000003E-2</v>
      </c>
    </row>
    <row r="44" spans="1:13" x14ac:dyDescent="0.25">
      <c r="C44" t="s">
        <v>127</v>
      </c>
      <c r="H44" s="63">
        <v>5</v>
      </c>
      <c r="I44" s="1"/>
      <c r="J44" s="1"/>
    </row>
    <row r="45" spans="1:13" x14ac:dyDescent="0.25">
      <c r="C45" t="s">
        <v>128</v>
      </c>
      <c r="H45" s="59">
        <v>0.2</v>
      </c>
      <c r="I45" s="1"/>
      <c r="J45" s="1"/>
    </row>
    <row r="46" spans="1:13" x14ac:dyDescent="0.25">
      <c r="C46" t="s">
        <v>33</v>
      </c>
      <c r="H46" s="59">
        <v>0.15</v>
      </c>
      <c r="I46" s="1"/>
      <c r="J46" s="1"/>
    </row>
    <row r="47" spans="1:13" x14ac:dyDescent="0.25">
      <c r="I47" s="1"/>
      <c r="J47" s="1"/>
    </row>
    <row r="48" spans="1:13" s="11" customFormat="1" x14ac:dyDescent="0.25">
      <c r="A48" s="47" t="s">
        <v>129</v>
      </c>
      <c r="I48" s="60"/>
      <c r="J48" s="60"/>
    </row>
    <row r="49" spans="1:10" x14ac:dyDescent="0.25">
      <c r="C49" t="s">
        <v>130</v>
      </c>
      <c r="H49" s="58">
        <v>700000</v>
      </c>
      <c r="I49" s="1"/>
      <c r="J49" s="1"/>
    </row>
    <row r="50" spans="1:10" x14ac:dyDescent="0.25">
      <c r="C50" t="s">
        <v>131</v>
      </c>
      <c r="H50" s="39">
        <v>8000000</v>
      </c>
      <c r="I50" s="1"/>
      <c r="J50" s="1"/>
    </row>
    <row r="51" spans="1:10" x14ac:dyDescent="0.25">
      <c r="C51" t="s">
        <v>132</v>
      </c>
      <c r="H51" s="39">
        <v>3000000</v>
      </c>
      <c r="I51" s="1"/>
      <c r="J51" s="1"/>
    </row>
    <row r="52" spans="1:10" x14ac:dyDescent="0.25">
      <c r="C52" t="s">
        <v>133</v>
      </c>
      <c r="H52" s="39">
        <v>1300000</v>
      </c>
      <c r="I52" s="1"/>
      <c r="J52" s="1"/>
    </row>
    <row r="53" spans="1:10" x14ac:dyDescent="0.25">
      <c r="C53" t="s">
        <v>148</v>
      </c>
      <c r="H53" s="63">
        <v>5</v>
      </c>
      <c r="I53" s="1"/>
      <c r="J53" s="1"/>
    </row>
    <row r="54" spans="1:10" x14ac:dyDescent="0.25">
      <c r="C54" t="s">
        <v>149</v>
      </c>
      <c r="H54" s="59">
        <v>0.2</v>
      </c>
      <c r="I54" s="1"/>
      <c r="J54" s="1"/>
    </row>
    <row r="55" spans="1:10" x14ac:dyDescent="0.25">
      <c r="I55" s="1"/>
      <c r="J55" s="1"/>
    </row>
    <row r="56" spans="1:10" s="11" customFormat="1" x14ac:dyDescent="0.25">
      <c r="A56" s="47" t="s">
        <v>134</v>
      </c>
      <c r="H56" s="60"/>
      <c r="I56" s="60"/>
      <c r="J56" s="60"/>
    </row>
    <row r="57" spans="1:10" x14ac:dyDescent="0.25">
      <c r="C57" t="s">
        <v>135</v>
      </c>
      <c r="E57" t="s">
        <v>136</v>
      </c>
      <c r="H57" s="65">
        <v>30</v>
      </c>
      <c r="I57" s="1"/>
      <c r="J57" s="1"/>
    </row>
    <row r="58" spans="1:10" x14ac:dyDescent="0.25">
      <c r="C58" t="s">
        <v>137</v>
      </c>
      <c r="E58" t="s">
        <v>136</v>
      </c>
      <c r="H58" s="64">
        <v>25</v>
      </c>
      <c r="I58" s="1"/>
      <c r="J58" s="1"/>
    </row>
    <row r="59" spans="1:10" x14ac:dyDescent="0.25">
      <c r="C59" t="s">
        <v>138</v>
      </c>
      <c r="E59" t="s">
        <v>136</v>
      </c>
      <c r="H59" s="64">
        <v>42</v>
      </c>
      <c r="I59" s="1"/>
      <c r="J59" s="1"/>
    </row>
    <row r="60" spans="1:10" x14ac:dyDescent="0.25">
      <c r="H60" s="1"/>
      <c r="I60" s="1"/>
      <c r="J6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Cover page</vt:lpstr>
      <vt:lpstr>Guide</vt:lpstr>
      <vt:lpstr>Output&gt;&gt;</vt:lpstr>
      <vt:lpstr>FS</vt:lpstr>
      <vt:lpstr>Calc&gt;&gt;</vt:lpstr>
      <vt:lpstr>Operation</vt:lpstr>
      <vt:lpstr>Analysis</vt:lpstr>
      <vt:lpstr>Ratio</vt:lpstr>
      <vt:lpstr>Model&gt;&gt;</vt:lpstr>
      <vt:lpstr>Input</vt:lpstr>
      <vt:lpstr>coyname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O BALOGUN</dc:creator>
  <cp:lastModifiedBy>HP</cp:lastModifiedBy>
  <dcterms:created xsi:type="dcterms:W3CDTF">2024-07-22T06:12:26Z</dcterms:created>
  <dcterms:modified xsi:type="dcterms:W3CDTF">2024-08-21T16:59:11Z</dcterms:modified>
</cp:coreProperties>
</file>